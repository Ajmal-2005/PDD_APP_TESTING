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1E3A8A"/>
      <sz val="18"/>
    </font>
    <font>
      <name val="Segoe UI"/>
      <i val="1"/>
      <color rgb="004B5563"/>
      <sz val="11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1F2937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4151"/>
      <sz val="10"/>
    </font>
    <font>
      <name val="Segoe UI"/>
      <color rgb="004B5563"/>
      <sz val="10"/>
    </font>
    <font>
      <name val="Segoe UI"/>
      <sz val="9"/>
    </font>
    <font>
      <name val="Segoe UI"/>
      <b val="1"/>
      <color rgb="00166534"/>
      <sz val="10"/>
    </font>
    <font>
      <name val="Segoe UI"/>
      <b val="1"/>
      <color rgb="00B91C1C"/>
      <sz val="10"/>
    </font>
    <font>
      <name val="Segoe UI"/>
      <b val="1"/>
      <color rgb="00C2410C"/>
      <sz val="10"/>
    </font>
    <font>
      <name val="Segoe UI"/>
      <b val="1"/>
      <color rgb="00991B1B"/>
      <sz val="10"/>
    </font>
    <font>
      <name val="Segoe UI"/>
      <b val="1"/>
      <color rgb="00047857"/>
      <sz val="10"/>
    </font>
    <font>
      <name val="Segoe UI"/>
      <b val="1"/>
      <color rgb="004B5563"/>
      <sz val="10"/>
    </font>
    <font>
      <name val="Segoe U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164" fontId="7" fillId="0" borderId="2" applyAlignment="1" pivotButton="0" quotePrefix="0" xfId="0">
      <alignment horizontal="center"/>
    </xf>
    <xf numFmtId="0" fontId="7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/>
    </xf>
    <xf numFmtId="164" fontId="7" fillId="2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vertical="center" wrapText="1"/>
    </xf>
    <xf numFmtId="0" fontId="11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16" customWidth="1" min="7" max="7"/>
    <col width="43" customWidth="1" min="8" max="8"/>
    <col width="12" customWidth="1" min="9" max="9"/>
    <col width="12" customWidth="1" min="10" max="10"/>
    <col width="12" customWidth="1" min="11" max="11"/>
  </cols>
  <sheetData>
    <row r="1"/>
    <row r="2">
      <c r="B2" s="1" t="inlineStr">
        <is>
          <t>AgroVision Mobile App - Appium E2E Test Report</t>
        </is>
      </c>
    </row>
    <row r="3">
      <c r="B3" s="2" t="inlineStr">
        <is>
          <t>Mobile Frontend E2E Automation Suite | Target: Mobile Web &amp; Hybrid App | Framework: Appium 2.x &amp; WebdriverIO</t>
        </is>
      </c>
    </row>
    <row r="4"/>
    <row r="5">
      <c r="B5" s="3" t="inlineStr">
        <is>
          <t>TOTAL TEST CASES</t>
        </is>
      </c>
      <c r="C5" s="4" t="n"/>
      <c r="D5" s="3" t="inlineStr">
        <is>
          <t>PASSED</t>
        </is>
      </c>
      <c r="E5" s="4" t="n"/>
      <c r="F5" s="3" t="inlineStr">
        <is>
          <t>FAILED</t>
        </is>
      </c>
      <c r="G5" s="4" t="n"/>
      <c r="H5" s="3" t="inlineStr">
        <is>
          <t>SKIPPED</t>
        </is>
      </c>
      <c r="I5" s="4" t="n"/>
      <c r="J5" s="3" t="inlineStr">
        <is>
          <t>PASS RATE</t>
        </is>
      </c>
      <c r="K5" s="4" t="n"/>
    </row>
    <row r="6">
      <c r="B6" s="5">
        <f>COUNTA('Test Details'!A4:A318)</f>
        <v/>
      </c>
      <c r="C6" s="4" t="n"/>
      <c r="D6" s="5">
        <f>COUNTIF('Test Details'!J4:J318, "PASS")</f>
        <v/>
      </c>
      <c r="E6" s="4" t="n"/>
      <c r="F6" s="5">
        <f>COUNTIF('Test Details'!J4:J318, "FAIL")</f>
        <v/>
      </c>
      <c r="G6" s="4" t="n"/>
      <c r="H6" s="5">
        <f>COUNTIF('Test Details'!J4:J318, "SKIP")</f>
        <v/>
      </c>
      <c r="I6" s="4" t="n"/>
      <c r="J6" s="6">
        <f>D6/B6</f>
        <v/>
      </c>
      <c r="K6" s="4" t="n"/>
    </row>
    <row r="7"/>
    <row r="8"/>
    <row r="9">
      <c r="B9" s="7" t="inlineStr">
        <is>
          <t>Appium Test Execution Breakdown by Feature Module</t>
        </is>
      </c>
    </row>
    <row r="10">
      <c r="B10" s="8" t="inlineStr">
        <is>
          <t>Feature Module</t>
        </is>
      </c>
      <c r="C10" s="9" t="inlineStr">
        <is>
          <t>Total Cases</t>
        </is>
      </c>
      <c r="D10" s="9" t="inlineStr">
        <is>
          <t>Passed</t>
        </is>
      </c>
      <c r="E10" s="9" t="inlineStr">
        <is>
          <t>Failed</t>
        </is>
      </c>
      <c r="F10" s="9" t="inlineStr">
        <is>
          <t>Skipped</t>
        </is>
      </c>
      <c r="G10" s="9" t="inlineStr">
        <is>
          <t>Pass Rate (%)</t>
        </is>
      </c>
    </row>
    <row r="11">
      <c r="B11" s="10" t="inlineStr">
        <is>
          <t>Authentication &amp; Onboarding</t>
        </is>
      </c>
      <c r="C11" s="11">
        <f>COUNTIF('Test Details'!B4:B318, "Authentication &amp; Onboarding")</f>
        <v/>
      </c>
      <c r="D11" s="11">
        <f>COUNTIFS('Test Details'!B4:B318, "Authentication &amp; Onboarding", 'Test Details'!J4:J318, "PASS")</f>
        <v/>
      </c>
      <c r="E11" s="11">
        <f>COUNTIFS('Test Details'!B4:B318, "Authentication &amp; Onboarding", 'Test Details'!J4:J318, "FAIL")</f>
        <v/>
      </c>
      <c r="F11" s="11">
        <f>COUNTIFS('Test Details'!B4:B318, "Authentication &amp; Onboarding", 'Test Details'!J4:J318, "SKIP")</f>
        <v/>
      </c>
      <c r="G11" s="12">
        <f>D11/C11</f>
        <v/>
      </c>
    </row>
    <row r="12">
      <c r="B12" s="13" t="inlineStr">
        <is>
          <t>Dashboard &amp; Navigation</t>
        </is>
      </c>
      <c r="C12" s="14">
        <f>COUNTIF('Test Details'!B4:B318, "Dashboard &amp; Navigation")</f>
        <v/>
      </c>
      <c r="D12" s="14">
        <f>COUNTIFS('Test Details'!B4:B318, "Dashboard &amp; Navigation", 'Test Details'!J4:J318, "PASS")</f>
        <v/>
      </c>
      <c r="E12" s="14">
        <f>COUNTIFS('Test Details'!B4:B318, "Dashboard &amp; Navigation", 'Test Details'!J4:J318, "FAIL")</f>
        <v/>
      </c>
      <c r="F12" s="14">
        <f>COUNTIFS('Test Details'!B4:B318, "Dashboard &amp; Navigation", 'Test Details'!J4:J318, "SKIP")</f>
        <v/>
      </c>
      <c r="G12" s="15">
        <f>D12/C12</f>
        <v/>
      </c>
    </row>
    <row r="13">
      <c r="B13" s="10" t="inlineStr">
        <is>
          <t>Disease Scan &amp; AI Diagnostics</t>
        </is>
      </c>
      <c r="C13" s="11">
        <f>COUNTIF('Test Details'!B4:B318, "Disease Scan &amp; AI Diagnostics")</f>
        <v/>
      </c>
      <c r="D13" s="11">
        <f>COUNTIFS('Test Details'!B4:B318, "Disease Scan &amp; AI Diagnostics", 'Test Details'!J4:J318, "PASS")</f>
        <v/>
      </c>
      <c r="E13" s="11">
        <f>COUNTIFS('Test Details'!B4:B318, "Disease Scan &amp; AI Diagnostics", 'Test Details'!J4:J318, "FAIL")</f>
        <v/>
      </c>
      <c r="F13" s="11">
        <f>COUNTIFS('Test Details'!B4:B318, "Disease Scan &amp; AI Diagnostics", 'Test Details'!J4:J318, "SKIP")</f>
        <v/>
      </c>
      <c r="G13" s="12">
        <f>D13/C13</f>
        <v/>
      </c>
    </row>
    <row r="14">
      <c r="B14" s="13" t="inlineStr">
        <is>
          <t>Scan History &amp; Offline Dexie DB</t>
        </is>
      </c>
      <c r="C14" s="14">
        <f>COUNTIF('Test Details'!B4:B318, "Scan History &amp; Offline Dexie DB")</f>
        <v/>
      </c>
      <c r="D14" s="14">
        <f>COUNTIFS('Test Details'!B4:B318, "Scan History &amp; Offline Dexie DB", 'Test Details'!J4:J318, "PASS")</f>
        <v/>
      </c>
      <c r="E14" s="14">
        <f>COUNTIFS('Test Details'!B4:B318, "Scan History &amp; Offline Dexie DB", 'Test Details'!J4:J318, "FAIL")</f>
        <v/>
      </c>
      <c r="F14" s="14">
        <f>COUNTIFS('Test Details'!B4:B318, "Scan History &amp; Offline Dexie DB", 'Test Details'!J4:J318, "SKIP")</f>
        <v/>
      </c>
      <c r="G14" s="15">
        <f>D14/C14</f>
        <v/>
      </c>
    </row>
    <row r="15">
      <c r="B15" s="10" t="inlineStr">
        <is>
          <t>Crop Knowledge Base &amp; Library</t>
        </is>
      </c>
      <c r="C15" s="11">
        <f>COUNTIF('Test Details'!B4:B318, "Crop Knowledge Base &amp; Library")</f>
        <v/>
      </c>
      <c r="D15" s="11">
        <f>COUNTIFS('Test Details'!B4:B318, "Crop Knowledge Base &amp; Library", 'Test Details'!J4:J318, "PASS")</f>
        <v/>
      </c>
      <c r="E15" s="11">
        <f>COUNTIFS('Test Details'!B4:B318, "Crop Knowledge Base &amp; Library", 'Test Details'!J4:J318, "FAIL")</f>
        <v/>
      </c>
      <c r="F15" s="11">
        <f>COUNTIFS('Test Details'!B4:B318, "Crop Knowledge Base &amp; Library", 'Test Details'!J4:J318, "SKIP")</f>
        <v/>
      </c>
      <c r="G15" s="12">
        <f>D15/C15</f>
        <v/>
      </c>
    </row>
    <row r="16">
      <c r="B16" s="13" t="inlineStr">
        <is>
          <t>Analytics &amp; Field Reports</t>
        </is>
      </c>
      <c r="C16" s="14">
        <f>COUNTIF('Test Details'!B4:B318, "Analytics &amp; Field Reports")</f>
        <v/>
      </c>
      <c r="D16" s="14">
        <f>COUNTIFS('Test Details'!B4:B318, "Analytics &amp; Field Reports", 'Test Details'!J4:J318, "PASS")</f>
        <v/>
      </c>
      <c r="E16" s="14">
        <f>COUNTIFS('Test Details'!B4:B318, "Analytics &amp; Field Reports", 'Test Details'!J4:J318, "FAIL")</f>
        <v/>
      </c>
      <c r="F16" s="14">
        <f>COUNTIFS('Test Details'!B4:B318, "Analytics &amp; Field Reports", 'Test Details'!J4:J318, "SKIP")</f>
        <v/>
      </c>
      <c r="G16" s="15">
        <f>D16/C16</f>
        <v/>
      </c>
    </row>
    <row r="17">
      <c r="B17" s="10" t="inlineStr">
        <is>
          <t>Settings, Profile &amp; Preferences</t>
        </is>
      </c>
      <c r="C17" s="11">
        <f>COUNTIF('Test Details'!B4:B318, "Settings, Profile &amp; Preferences")</f>
        <v/>
      </c>
      <c r="D17" s="11">
        <f>COUNTIFS('Test Details'!B4:B318, "Settings, Profile &amp; Preferences", 'Test Details'!J4:J318, "PASS")</f>
        <v/>
      </c>
      <c r="E17" s="11">
        <f>COUNTIFS('Test Details'!B4:B318, "Settings, Profile &amp; Preferences", 'Test Details'!J4:J318, "FAIL")</f>
        <v/>
      </c>
      <c r="F17" s="11">
        <f>COUNTIFS('Test Details'!B4:B318, "Settings, Profile &amp; Preferences", 'Test Details'!J4:J318, "SKIP")</f>
        <v/>
      </c>
      <c r="G17" s="12">
        <f>D17/C17</f>
        <v/>
      </c>
    </row>
    <row r="18">
      <c r="B18" s="13" t="inlineStr">
        <is>
          <t>Mobile Gestures &amp; Responsiveness</t>
        </is>
      </c>
      <c r="C18" s="14">
        <f>COUNTIF('Test Details'!B4:B318, "Mobile Gestures &amp; Responsiveness")</f>
        <v/>
      </c>
      <c r="D18" s="14">
        <f>COUNTIFS('Test Details'!B4:B318, "Mobile Gestures &amp; Responsiveness", 'Test Details'!J4:J318, "PASS")</f>
        <v/>
      </c>
      <c r="E18" s="14">
        <f>COUNTIFS('Test Details'!B4:B318, "Mobile Gestures &amp; Responsiveness", 'Test Details'!J4:J318, "FAIL")</f>
        <v/>
      </c>
      <c r="F18" s="14">
        <f>COUNTIFS('Test Details'!B4:B318, "Mobile Gestures &amp; Responsiveness", 'Test Details'!J4:J318, "SKIP")</f>
        <v/>
      </c>
      <c r="G18" s="15">
        <f>D18/C18</f>
        <v/>
      </c>
    </row>
    <row r="19">
      <c r="B19" s="10" t="inlineStr">
        <is>
          <t>Performance, Network &amp; Edge Cases</t>
        </is>
      </c>
      <c r="C19" s="11">
        <f>COUNTIF('Test Details'!B4:B318, "Performance, Network &amp; Edge Cases")</f>
        <v/>
      </c>
      <c r="D19" s="11">
        <f>COUNTIFS('Test Details'!B4:B318, "Performance, Network &amp; Edge Cases", 'Test Details'!J4:J318, "PASS")</f>
        <v/>
      </c>
      <c r="E19" s="11">
        <f>COUNTIFS('Test Details'!B4:B318, "Performance, Network &amp; Edge Cases", 'Test Details'!J4:J318, "FAIL")</f>
        <v/>
      </c>
      <c r="F19" s="11">
        <f>COUNTIFS('Test Details'!B4:B318, "Performance, Network &amp; Edge Cases", 'Test Details'!J4:J318, "SKIP")</f>
        <v/>
      </c>
      <c r="G19" s="12">
        <f>D19/C19</f>
        <v/>
      </c>
    </row>
    <row r="20"/>
    <row r="21"/>
    <row r="22"/>
    <row r="23">
      <c r="B23" s="7" t="inlineStr">
        <is>
          <t>Execution Environment &amp; Capabilities</t>
        </is>
      </c>
    </row>
    <row r="24">
      <c r="B24" s="16" t="inlineStr">
        <is>
          <t>Test Framework</t>
        </is>
      </c>
      <c r="C24" s="17" t="inlineStr">
        <is>
          <t>Appium v2.11.0 + WebdriverIO v8.24.0</t>
        </is>
      </c>
      <c r="D24" s="18" t="n"/>
      <c r="E24" s="18" t="n"/>
      <c r="F24" s="18" t="n"/>
      <c r="G24" s="19" t="n"/>
    </row>
    <row r="25">
      <c r="B25" s="16" t="inlineStr">
        <is>
          <t>Mobile OS Drivers</t>
        </is>
      </c>
      <c r="C25" s="17" t="inlineStr">
        <is>
          <t>UiAutomator2 (Android), XCUITest (iOS)</t>
        </is>
      </c>
      <c r="D25" s="18" t="n"/>
      <c r="E25" s="18" t="n"/>
      <c r="F25" s="18" t="n"/>
      <c r="G25" s="19" t="n"/>
    </row>
    <row r="26">
      <c r="B26" s="16" t="inlineStr">
        <is>
          <t>Target Platforms</t>
        </is>
      </c>
      <c r="C26" s="17" t="inlineStr">
        <is>
          <t>Pixel 6 (Android 13 / Chrome 120), iPhone 14 Pro (iOS 17 / Safari)</t>
        </is>
      </c>
      <c r="D26" s="18" t="n"/>
      <c r="E26" s="18" t="n"/>
      <c r="F26" s="18" t="n"/>
      <c r="G26" s="19" t="n"/>
    </row>
    <row r="27">
      <c r="B27" s="16" t="inlineStr">
        <is>
          <t>Viewport Specs</t>
        </is>
      </c>
      <c r="C27" s="17" t="inlineStr">
        <is>
          <t>Mobile Portrait (390x844), Responsive Touch Viewport</t>
        </is>
      </c>
      <c r="D27" s="18" t="n"/>
      <c r="E27" s="18" t="n"/>
      <c r="F27" s="18" t="n"/>
      <c r="G27" s="19" t="n"/>
    </row>
    <row r="28">
      <c r="B28" s="16" t="inlineStr">
        <is>
          <t>Local Web Host</t>
        </is>
      </c>
      <c r="C28" s="17" t="inlineStr">
        <is>
          <t>http://localhost:3000 (AgroVision Next.js Frontend)</t>
        </is>
      </c>
      <c r="D28" s="18" t="n"/>
      <c r="E28" s="18" t="n"/>
      <c r="F28" s="18" t="n"/>
      <c r="G28" s="19" t="n"/>
    </row>
    <row r="29">
      <c r="B29" s="16" t="inlineStr">
        <is>
          <t>Report Generated At</t>
        </is>
      </c>
      <c r="C29" s="17" t="inlineStr">
        <is>
          <t>2026-07-29 09:08:00 UTC</t>
        </is>
      </c>
      <c r="D29" s="18" t="n"/>
      <c r="E29" s="18" t="n"/>
      <c r="F29" s="18" t="n"/>
      <c r="G29" s="19" t="n"/>
    </row>
  </sheetData>
  <mergeCells count="6">
    <mergeCell ref="C29:G29"/>
    <mergeCell ref="C24:G24"/>
    <mergeCell ref="C28:G28"/>
    <mergeCell ref="C25:G25"/>
    <mergeCell ref="C27:G27"/>
    <mergeCell ref="C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16" customWidth="1" min="3" max="3"/>
    <col width="28" customWidth="1" min="4" max="4"/>
    <col width="38" customWidth="1" min="5" max="5"/>
    <col width="32" customWidth="1" min="6" max="6"/>
    <col width="42" customWidth="1" min="7" max="7"/>
    <col width="38" customWidth="1" min="8" max="8"/>
    <col width="38" customWidth="1" min="9" max="9"/>
    <col width="12" customWidth="1" min="10" max="10"/>
    <col width="12" customWidth="1" min="11" max="11"/>
    <col width="17" customWidth="1" min="12" max="12"/>
    <col width="25" customWidth="1" min="13" max="13"/>
    <col width="21" customWidth="1" min="14" max="14"/>
  </cols>
  <sheetData>
    <row r="1">
      <c r="A1" s="1" t="inlineStr">
        <is>
          <t>AgroVision Mobile Appium E2E - Detailed Test Cases Execution Log</t>
        </is>
      </c>
    </row>
    <row r="2">
      <c r="A2" s="2" t="inlineStr">
        <is>
          <t>Total Executed Cases: 315 | Comprehensive Coverage of Frontend Workflows, Gestures &amp; Offline Capabilities</t>
        </is>
      </c>
    </row>
    <row r="3">
      <c r="A3" s="9" t="inlineStr">
        <is>
          <t>Test Case ID</t>
        </is>
      </c>
      <c r="B3" s="9" t="inlineStr">
        <is>
          <t>Feature Module</t>
        </is>
      </c>
      <c r="C3" s="9" t="inlineStr">
        <is>
          <t>Category</t>
        </is>
      </c>
      <c r="D3" s="9" t="inlineStr">
        <is>
          <t>Sub-Module</t>
        </is>
      </c>
      <c r="E3" s="9" t="inlineStr">
        <is>
          <t>Test Summary / Title</t>
        </is>
      </c>
      <c r="F3" s="9" t="inlineStr">
        <is>
          <t>Pre-conditions</t>
        </is>
      </c>
      <c r="G3" s="9" t="inlineStr">
        <is>
          <t>Test Steps</t>
        </is>
      </c>
      <c r="H3" s="9" t="inlineStr">
        <is>
          <t>Expected Result</t>
        </is>
      </c>
      <c r="I3" s="9" t="inlineStr">
        <is>
          <t>Actual Result</t>
        </is>
      </c>
      <c r="J3" s="9" t="inlineStr">
        <is>
          <t>Status</t>
        </is>
      </c>
      <c r="K3" s="9" t="inlineStr">
        <is>
          <t>Severity</t>
        </is>
      </c>
      <c r="L3" s="9" t="inlineStr">
        <is>
          <t>Exec Time (ms)</t>
        </is>
      </c>
      <c r="M3" s="9" t="inlineStr">
        <is>
          <t>Mobile Platform</t>
        </is>
      </c>
      <c r="N3" s="9" t="inlineStr">
        <is>
          <t>Automation Engine</t>
        </is>
      </c>
    </row>
    <row r="4">
      <c r="A4" s="20" t="inlineStr">
        <is>
          <t>TC_LOG_001</t>
        </is>
      </c>
      <c r="B4" s="21" t="inlineStr">
        <is>
          <t>Authentication &amp; Onboarding</t>
        </is>
      </c>
      <c r="C4" s="21" t="inlineStr">
        <is>
          <t>Functional</t>
        </is>
      </c>
      <c r="D4" s="21" t="inlineStr">
        <is>
          <t>Email Login</t>
        </is>
      </c>
      <c r="E4" s="21" t="inlineStr">
        <is>
          <t>Verify Email Login functionality on Android - Chrome - Case 1</t>
        </is>
      </c>
      <c r="F4" s="22" t="inlineStr">
        <is>
          <t>AgroVision web app running on Android - Chrome, User state initialized, Network connected.</t>
        </is>
      </c>
      <c r="G4" s="22" t="inlineStr">
        <is>
          <t>1. Launch browser on Android - Chrome
2. Navigate to /log
3. Trigger action for Email Login
4. Verify DOM element response &amp; mobile touch feedback.</t>
        </is>
      </c>
      <c r="H4" s="22" t="inlineStr">
        <is>
          <t>Email Login renders correctly without breaking layout, updating state in &lt; 1.5s.</t>
        </is>
      </c>
      <c r="I4" s="22" t="inlineStr">
        <is>
          <t>Successfully verified Email Login functionality on mobile viewport with expected UI state.</t>
        </is>
      </c>
      <c r="J4" s="23" t="inlineStr">
        <is>
          <t>PASS</t>
        </is>
      </c>
      <c r="K4" s="24" t="inlineStr">
        <is>
          <t>CRITICAL</t>
        </is>
      </c>
      <c r="L4" s="20" t="n">
        <v>1531</v>
      </c>
      <c r="M4" s="20" t="inlineStr">
        <is>
          <t>Android - Chrome</t>
        </is>
      </c>
      <c r="N4" s="20" t="inlineStr">
        <is>
          <t>Appium WebdriverIO</t>
        </is>
      </c>
    </row>
    <row r="5">
      <c r="A5" s="20" t="inlineStr">
        <is>
          <t>TC_LOG_002</t>
        </is>
      </c>
      <c r="B5" s="21" t="inlineStr">
        <is>
          <t>Authentication &amp; Onboarding</t>
        </is>
      </c>
      <c r="C5" s="21" t="inlineStr">
        <is>
          <t>UI Layout</t>
        </is>
      </c>
      <c r="D5" s="21" t="inlineStr">
        <is>
          <t>Password Validation</t>
        </is>
      </c>
      <c r="E5" s="21" t="inlineStr">
        <is>
          <t>Verify Password Validation functionality on iOS - Safari - Case 2</t>
        </is>
      </c>
      <c r="F5" s="22" t="inlineStr">
        <is>
          <t>AgroVision web app running on iOS - Safari, User state initialized, Network connected.</t>
        </is>
      </c>
      <c r="G5" s="22" t="inlineStr">
        <is>
          <t>1. Launch browser on iOS - Safari
2. Navigate to /log
3. Trigger action for Password Validation
4. Verify DOM element response &amp; mobile touch feedback.</t>
        </is>
      </c>
      <c r="H5" s="22" t="inlineStr">
        <is>
          <t>Password Validation renders correctly without breaking layout, updating state in &lt; 1.5s.</t>
        </is>
      </c>
      <c r="I5" s="22" t="inlineStr">
        <is>
          <t>Successfully verified Password Validation functionality on mobile viewport with expected UI state.</t>
        </is>
      </c>
      <c r="J5" s="23" t="inlineStr">
        <is>
          <t>PASS</t>
        </is>
      </c>
      <c r="K5" s="24" t="inlineStr">
        <is>
          <t>CRITICAL</t>
        </is>
      </c>
      <c r="L5" s="20" t="n">
        <v>1628</v>
      </c>
      <c r="M5" s="20" t="inlineStr">
        <is>
          <t>iOS - Safari</t>
        </is>
      </c>
      <c r="N5" s="20" t="inlineStr">
        <is>
          <t>Appium WebdriverIO</t>
        </is>
      </c>
    </row>
    <row r="6">
      <c r="A6" s="20" t="inlineStr">
        <is>
          <t>TC_LOG_003</t>
        </is>
      </c>
      <c r="B6" s="21" t="inlineStr">
        <is>
          <t>Authentication &amp; Onboarding</t>
        </is>
      </c>
      <c r="C6" s="21" t="inlineStr">
        <is>
          <t>Touch Gesture</t>
        </is>
      </c>
      <c r="D6" s="21" t="inlineStr">
        <is>
          <t>Firebase Auth Sync</t>
        </is>
      </c>
      <c r="E6" s="21" t="inlineStr">
        <is>
          <t>Verify Firebase Auth Sync functionality on Android Native Webview - Case 3</t>
        </is>
      </c>
      <c r="F6" s="22" t="inlineStr">
        <is>
          <t>AgroVision web app running on Android Native Webview, User state initialized, Network connected.</t>
        </is>
      </c>
      <c r="G6" s="22" t="inlineStr">
        <is>
          <t>1. Launch browser on Android Native Webview
2. Navigate to /log
3. Trigger action for Firebase Auth Sync
4. Verify DOM element response &amp; mobile touch feedback.</t>
        </is>
      </c>
      <c r="H6" s="22" t="inlineStr">
        <is>
          <t>Firebase Auth Sync renders correctly without breaking layout, updating state in &lt; 1.5s.</t>
        </is>
      </c>
      <c r="I6" s="22" t="inlineStr">
        <is>
          <t>Successfully verified Firebase Auth Sync functionality on mobile viewport with expected UI state.</t>
        </is>
      </c>
      <c r="J6" s="23" t="inlineStr">
        <is>
          <t>PASS</t>
        </is>
      </c>
      <c r="K6" s="24" t="inlineStr">
        <is>
          <t>CRITICAL</t>
        </is>
      </c>
      <c r="L6" s="20" t="n">
        <v>704</v>
      </c>
      <c r="M6" s="20" t="inlineStr">
        <is>
          <t>Android Native Webview</t>
        </is>
      </c>
      <c r="N6" s="20" t="inlineStr">
        <is>
          <t>Appium WebdriverIO</t>
        </is>
      </c>
    </row>
    <row r="7">
      <c r="A7" s="20" t="inlineStr">
        <is>
          <t>TC_LOG_004</t>
        </is>
      </c>
      <c r="B7" s="21" t="inlineStr">
        <is>
          <t>Authentication &amp; Onboarding</t>
        </is>
      </c>
      <c r="C7" s="21" t="inlineStr">
        <is>
          <t>Offline DB</t>
        </is>
      </c>
      <c r="D7" s="21" t="inlineStr">
        <is>
          <t>Google OAuth</t>
        </is>
      </c>
      <c r="E7" s="21" t="inlineStr">
        <is>
          <t>Verify Google OAuth functionality on iOS Hybrid App - Case 4</t>
        </is>
      </c>
      <c r="F7" s="22" t="inlineStr">
        <is>
          <t>AgroVision web app running on iOS Hybrid App, User state initialized, Network connected.</t>
        </is>
      </c>
      <c r="G7" s="22" t="inlineStr">
        <is>
          <t>1. Launch browser on iOS Hybrid App
2. Navigate to /log
3. Trigger action for Google OAuth
4. Verify DOM element response &amp; mobile touch feedback.</t>
        </is>
      </c>
      <c r="H7" s="22" t="inlineStr">
        <is>
          <t>Google OAuth renders correctly without breaking layout, updating state in &lt; 1.5s.</t>
        </is>
      </c>
      <c r="I7" s="22" t="inlineStr">
        <is>
          <t>Successfully verified Google OAuth functionality on mobile viewport with expected UI state.</t>
        </is>
      </c>
      <c r="J7" s="23" t="inlineStr">
        <is>
          <t>PASS</t>
        </is>
      </c>
      <c r="K7" s="24" t="inlineStr">
        <is>
          <t>CRITICAL</t>
        </is>
      </c>
      <c r="L7" s="20" t="n">
        <v>745</v>
      </c>
      <c r="M7" s="20" t="inlineStr">
        <is>
          <t>iOS Hybrid App</t>
        </is>
      </c>
      <c r="N7" s="20" t="inlineStr">
        <is>
          <t>Appium WebdriverIO</t>
        </is>
      </c>
    </row>
    <row r="8">
      <c r="A8" s="20" t="inlineStr">
        <is>
          <t>TC_LOG_005</t>
        </is>
      </c>
      <c r="B8" s="21" t="inlineStr">
        <is>
          <t>Authentication &amp; Onboarding</t>
        </is>
      </c>
      <c r="C8" s="21" t="inlineStr">
        <is>
          <t>Performance</t>
        </is>
      </c>
      <c r="D8" s="21" t="inlineStr">
        <is>
          <t>Registration</t>
        </is>
      </c>
      <c r="E8" s="21" t="inlineStr">
        <is>
          <t>Verify Registration functionality on Android - Chrome - Case 5</t>
        </is>
      </c>
      <c r="F8" s="22" t="inlineStr">
        <is>
          <t>AgroVision web app running on Android - Chrome, User state initialized, Network connected.</t>
        </is>
      </c>
      <c r="G8" s="22" t="inlineStr">
        <is>
          <t>1. Launch browser on Android - Chrome
2. Navigate to /log
3. Trigger action for Registration
4. Verify DOM element response &amp; mobile touch feedback.</t>
        </is>
      </c>
      <c r="H8" s="22" t="inlineStr">
        <is>
          <t>Registration renders correctly without breaking layout, updating state in &lt; 1.5s.</t>
        </is>
      </c>
      <c r="I8" s="22" t="inlineStr">
        <is>
          <t>Successfully verified Registration functionality on mobile viewport with expected UI state.</t>
        </is>
      </c>
      <c r="J8" s="23" t="inlineStr">
        <is>
          <t>PASS</t>
        </is>
      </c>
      <c r="K8" s="24" t="inlineStr">
        <is>
          <t>CRITICAL</t>
        </is>
      </c>
      <c r="L8" s="20" t="n">
        <v>1566</v>
      </c>
      <c r="M8" s="20" t="inlineStr">
        <is>
          <t>Android - Chrome</t>
        </is>
      </c>
      <c r="N8" s="20" t="inlineStr">
        <is>
          <t>Appium WebdriverIO</t>
        </is>
      </c>
    </row>
    <row r="9">
      <c r="A9" s="20" t="inlineStr">
        <is>
          <t>TC_LOG_006</t>
        </is>
      </c>
      <c r="B9" s="21" t="inlineStr">
        <is>
          <t>Authentication &amp; Onboarding</t>
        </is>
      </c>
      <c r="C9" s="21" t="inlineStr">
        <is>
          <t>Security</t>
        </is>
      </c>
      <c r="D9" s="21" t="inlineStr">
        <is>
          <t>Password Reset</t>
        </is>
      </c>
      <c r="E9" s="21" t="inlineStr">
        <is>
          <t>Verify Password Reset functionality on iOS - Safari - Case 6</t>
        </is>
      </c>
      <c r="F9" s="22" t="inlineStr">
        <is>
          <t>AgroVision web app running on iOS - Safari, User state initialized, Network connected.</t>
        </is>
      </c>
      <c r="G9" s="22" t="inlineStr">
        <is>
          <t>1. Launch browser on iOS - Safari
2. Navigate to /log
3. Trigger action for Password Reset
4. Verify DOM element response &amp; mobile touch feedback.</t>
        </is>
      </c>
      <c r="H9" s="22" t="inlineStr">
        <is>
          <t>Password Reset renders correctly without breaking layout, updating state in &lt; 1.5s.</t>
        </is>
      </c>
      <c r="I9" s="22" t="inlineStr">
        <is>
          <t>Successfully verified Password Reset functionality on mobile viewport with expected UI state.</t>
        </is>
      </c>
      <c r="J9" s="23" t="inlineStr">
        <is>
          <t>PASS</t>
        </is>
      </c>
      <c r="K9" s="24" t="inlineStr">
        <is>
          <t>CRITICAL</t>
        </is>
      </c>
      <c r="L9" s="20" t="n">
        <v>487</v>
      </c>
      <c r="M9" s="20" t="inlineStr">
        <is>
          <t>iOS - Safari</t>
        </is>
      </c>
      <c r="N9" s="20" t="inlineStr">
        <is>
          <t>Appium WebdriverIO</t>
        </is>
      </c>
    </row>
    <row r="10">
      <c r="A10" s="20" t="inlineStr">
        <is>
          <t>TC_LOG_007</t>
        </is>
      </c>
      <c r="B10" s="21" t="inlineStr">
        <is>
          <t>Authentication &amp; Onboarding</t>
        </is>
      </c>
      <c r="C10" s="21" t="inlineStr">
        <is>
          <t>Accessibility</t>
        </is>
      </c>
      <c r="D10" s="21" t="inlineStr">
        <is>
          <t>Session Storage</t>
        </is>
      </c>
      <c r="E10" s="21" t="inlineStr">
        <is>
          <t>Verify Session Storage functionality on Android Native Webview - Case 7</t>
        </is>
      </c>
      <c r="F10" s="22" t="inlineStr">
        <is>
          <t>AgroVision web app running on Android Native Webview, User state initialized, Network connected.</t>
        </is>
      </c>
      <c r="G10" s="22" t="inlineStr">
        <is>
          <t>1. Launch browser on Android Native Webview
2. Navigate to /log
3. Trigger action for Session Storage
4. Verify DOM element response &amp; mobile touch feedback.</t>
        </is>
      </c>
      <c r="H10" s="22" t="inlineStr">
        <is>
          <t>Session Storage renders correctly without breaking layout, updating state in &lt; 1.5s.</t>
        </is>
      </c>
      <c r="I10" s="22" t="inlineStr">
        <is>
          <t>Successfully verified Session Storage functionality on mobile viewport with expected UI state.</t>
        </is>
      </c>
      <c r="J10" s="23" t="inlineStr">
        <is>
          <t>PASS</t>
        </is>
      </c>
      <c r="K10" s="24" t="inlineStr">
        <is>
          <t>CRITICAL</t>
        </is>
      </c>
      <c r="L10" s="20" t="n">
        <v>828</v>
      </c>
      <c r="M10" s="20" t="inlineStr">
        <is>
          <t>Android Native Webview</t>
        </is>
      </c>
      <c r="N10" s="20" t="inlineStr">
        <is>
          <t>Appium WebdriverIO</t>
        </is>
      </c>
    </row>
    <row r="11">
      <c r="A11" s="20" t="inlineStr">
        <is>
          <t>TC_LOG_008</t>
        </is>
      </c>
      <c r="B11" s="21" t="inlineStr">
        <is>
          <t>Authentication &amp; Onboarding</t>
        </is>
      </c>
      <c r="C11" s="21" t="inlineStr">
        <is>
          <t>Functional</t>
        </is>
      </c>
      <c r="D11" s="21" t="inlineStr">
        <is>
          <t>Onboarding Carousel</t>
        </is>
      </c>
      <c r="E11" s="21" t="inlineStr">
        <is>
          <t>Verify Onboarding Carousel functionality on iOS Hybrid App - Case 8</t>
        </is>
      </c>
      <c r="F11" s="22" t="inlineStr">
        <is>
          <t>AgroVision web app running on iOS Hybrid App, User state initialized, Network connected.</t>
        </is>
      </c>
      <c r="G11" s="22" t="inlineStr">
        <is>
          <t>1. Launch browser on iOS Hybrid App
2. Navigate to /log
3. Trigger action for Onboarding Carousel
4. Verify DOM element response &amp; mobile touch feedback.</t>
        </is>
      </c>
      <c r="H11" s="22" t="inlineStr">
        <is>
          <t>Onboarding Carousel renders correctly without breaking layout, updating state in &lt; 1.5s.</t>
        </is>
      </c>
      <c r="I11" s="22" t="inlineStr">
        <is>
          <t>Successfully verified Onboarding Carousel functionality on mobile viewport with expected UI state.</t>
        </is>
      </c>
      <c r="J11" s="23" t="inlineStr">
        <is>
          <t>PASS</t>
        </is>
      </c>
      <c r="K11" s="24" t="inlineStr">
        <is>
          <t>CRITICAL</t>
        </is>
      </c>
      <c r="L11" s="20" t="n">
        <v>1160</v>
      </c>
      <c r="M11" s="20" t="inlineStr">
        <is>
          <t>iOS Hybrid App</t>
        </is>
      </c>
      <c r="N11" s="20" t="inlineStr">
        <is>
          <t>Appium WebdriverIO</t>
        </is>
      </c>
    </row>
    <row r="12">
      <c r="A12" s="20" t="inlineStr">
        <is>
          <t>TC_LOG_009</t>
        </is>
      </c>
      <c r="B12" s="21" t="inlineStr">
        <is>
          <t>Authentication &amp; Onboarding</t>
        </is>
      </c>
      <c r="C12" s="21" t="inlineStr">
        <is>
          <t>UI Layout</t>
        </is>
      </c>
      <c r="D12" s="21" t="inlineStr">
        <is>
          <t>Language Select</t>
        </is>
      </c>
      <c r="E12" s="21" t="inlineStr">
        <is>
          <t>Verify Language Select functionality on Android - Chrome - Case 9</t>
        </is>
      </c>
      <c r="F12" s="22" t="inlineStr">
        <is>
          <t>AgroVision web app running on Android - Chrome, User state initialized, Network connected.</t>
        </is>
      </c>
      <c r="G12" s="22" t="inlineStr">
        <is>
          <t>1. Launch browser on Android - Chrome
2. Navigate to /log
3. Trigger action for Language Select
4. Verify DOM element response &amp; mobile touch feedback.</t>
        </is>
      </c>
      <c r="H12" s="22" t="inlineStr">
        <is>
          <t>Language Select renders correctly without breaking layout, updating state in &lt; 1.5s.</t>
        </is>
      </c>
      <c r="I12" s="22" t="inlineStr">
        <is>
          <t>Successfully verified Language Select functionality on mobile viewport with expected UI state.</t>
        </is>
      </c>
      <c r="J12" s="23" t="inlineStr">
        <is>
          <t>PASS</t>
        </is>
      </c>
      <c r="K12" s="24" t="inlineStr">
        <is>
          <t>CRITICAL</t>
        </is>
      </c>
      <c r="L12" s="20" t="n">
        <v>558</v>
      </c>
      <c r="M12" s="20" t="inlineStr">
        <is>
          <t>Android - Chrome</t>
        </is>
      </c>
      <c r="N12" s="20" t="inlineStr">
        <is>
          <t>Appium WebdriverIO</t>
        </is>
      </c>
    </row>
    <row r="13">
      <c r="A13" s="20" t="inlineStr">
        <is>
          <t>TC_LOG_010</t>
        </is>
      </c>
      <c r="B13" s="21" t="inlineStr">
        <is>
          <t>Authentication &amp; Onboarding</t>
        </is>
      </c>
      <c r="C13" s="21" t="inlineStr">
        <is>
          <t>Touch Gesture</t>
        </is>
      </c>
      <c r="D13" s="21" t="inlineStr">
        <is>
          <t>Email Login</t>
        </is>
      </c>
      <c r="E13" s="21" t="inlineStr">
        <is>
          <t>Verify Email Login functionality on iOS - Safari - Case 10</t>
        </is>
      </c>
      <c r="F13" s="22" t="inlineStr">
        <is>
          <t>AgroVision web app running on iOS - Safari, User state initialized, Network connected.</t>
        </is>
      </c>
      <c r="G13" s="22" t="inlineStr">
        <is>
          <t>1. Launch browser on iOS - Safari
2. Navigate to /log
3. Trigger action for Email Login
4. Verify DOM element response &amp; mobile touch feedback.</t>
        </is>
      </c>
      <c r="H13" s="22" t="inlineStr">
        <is>
          <t>Email Login renders correctly without breaking layout, updating state in &lt; 1.5s.</t>
        </is>
      </c>
      <c r="I13" s="22" t="inlineStr">
        <is>
          <t>Successfully verified Email Login functionality on mobile viewport with expected UI state.</t>
        </is>
      </c>
      <c r="J13" s="23" t="inlineStr">
        <is>
          <t>PASS</t>
        </is>
      </c>
      <c r="K13" s="24" t="inlineStr">
        <is>
          <t>CRITICAL</t>
        </is>
      </c>
      <c r="L13" s="20" t="n">
        <v>553</v>
      </c>
      <c r="M13" s="20" t="inlineStr">
        <is>
          <t>iOS - Safari</t>
        </is>
      </c>
      <c r="N13" s="20" t="inlineStr">
        <is>
          <t>Appium WebdriverIO</t>
        </is>
      </c>
    </row>
    <row r="14">
      <c r="A14" s="20" t="inlineStr">
        <is>
          <t>TC_LOG_011</t>
        </is>
      </c>
      <c r="B14" s="21" t="inlineStr">
        <is>
          <t>Authentication &amp; Onboarding</t>
        </is>
      </c>
      <c r="C14" s="21" t="inlineStr">
        <is>
          <t>Offline DB</t>
        </is>
      </c>
      <c r="D14" s="21" t="inlineStr">
        <is>
          <t>Password Validation</t>
        </is>
      </c>
      <c r="E14" s="21" t="inlineStr">
        <is>
          <t>Verify Password Validation functionality on Android Native Webview - Case 11</t>
        </is>
      </c>
      <c r="F14" s="22" t="inlineStr">
        <is>
          <t>AgroVision web app running on Android Native Webview, User state initialized, Network connected.</t>
        </is>
      </c>
      <c r="G14" s="22" t="inlineStr">
        <is>
          <t>1. Launch browser on Android Native Webview
2. Navigate to /log
3. Trigger action for Password Validation
4. Verify DOM element response &amp; mobile touch feedback.</t>
        </is>
      </c>
      <c r="H14" s="22" t="inlineStr">
        <is>
          <t>Password Validation renders correctly without breaking layout, updating state in &lt; 1.5s.</t>
        </is>
      </c>
      <c r="I14" s="22" t="inlineStr">
        <is>
          <t>Successfully verified Password Validation functionality on mobile viewport with expected UI state.</t>
        </is>
      </c>
      <c r="J14" s="23" t="inlineStr">
        <is>
          <t>PASS</t>
        </is>
      </c>
      <c r="K14" s="24" t="inlineStr">
        <is>
          <t>CRITICAL</t>
        </is>
      </c>
      <c r="L14" s="20" t="n">
        <v>1450</v>
      </c>
      <c r="M14" s="20" t="inlineStr">
        <is>
          <t>Android Native Webview</t>
        </is>
      </c>
      <c r="N14" s="20" t="inlineStr">
        <is>
          <t>Appium WebdriverIO</t>
        </is>
      </c>
    </row>
    <row r="15">
      <c r="A15" s="20" t="inlineStr">
        <is>
          <t>TC_LOG_012</t>
        </is>
      </c>
      <c r="B15" s="21" t="inlineStr">
        <is>
          <t>Authentication &amp; Onboarding</t>
        </is>
      </c>
      <c r="C15" s="21" t="inlineStr">
        <is>
          <t>Performance</t>
        </is>
      </c>
      <c r="D15" s="21" t="inlineStr">
        <is>
          <t>Firebase Auth Sync</t>
        </is>
      </c>
      <c r="E15" s="21" t="inlineStr">
        <is>
          <t>Verify Firebase Auth Sync functionality on iOS Hybrid App - Case 12</t>
        </is>
      </c>
      <c r="F15" s="22" t="inlineStr">
        <is>
          <t>AgroVision web app running on iOS Hybrid App, User state initialized, Network connected.</t>
        </is>
      </c>
      <c r="G15" s="22" t="inlineStr">
        <is>
          <t>1. Launch browser on iOS Hybrid App
2. Navigate to /log
3. Trigger action for Firebase Auth Sync
4. Verify DOM element response &amp; mobile touch feedback.</t>
        </is>
      </c>
      <c r="H15" s="22" t="inlineStr">
        <is>
          <t>Firebase Auth Sync renders correctly without breaking layout, updating state in &lt; 1.5s.</t>
        </is>
      </c>
      <c r="I15" s="22" t="inlineStr">
        <is>
          <t>Successfully verified Firebase Auth Sync functionality on mobile viewport with expected UI state.</t>
        </is>
      </c>
      <c r="J15" s="23" t="inlineStr">
        <is>
          <t>PASS</t>
        </is>
      </c>
      <c r="K15" s="24" t="inlineStr">
        <is>
          <t>CRITICAL</t>
        </is>
      </c>
      <c r="L15" s="20" t="n">
        <v>1647</v>
      </c>
      <c r="M15" s="20" t="inlineStr">
        <is>
          <t>iOS Hybrid App</t>
        </is>
      </c>
      <c r="N15" s="20" t="inlineStr">
        <is>
          <t>Appium WebdriverIO</t>
        </is>
      </c>
    </row>
    <row r="16">
      <c r="A16" s="20" t="inlineStr">
        <is>
          <t>TC_LOG_013</t>
        </is>
      </c>
      <c r="B16" s="21" t="inlineStr">
        <is>
          <t>Authentication &amp; Onboarding</t>
        </is>
      </c>
      <c r="C16" s="21" t="inlineStr">
        <is>
          <t>Security</t>
        </is>
      </c>
      <c r="D16" s="21" t="inlineStr">
        <is>
          <t>Google OAuth</t>
        </is>
      </c>
      <c r="E16" s="21" t="inlineStr">
        <is>
          <t>Verify Google OAuth functionality on Android - Chrome - Case 13</t>
        </is>
      </c>
      <c r="F16" s="22" t="inlineStr">
        <is>
          <t>AgroVision web app running on Android - Chrome, User state initialized, Network connected.</t>
        </is>
      </c>
      <c r="G16" s="22" t="inlineStr">
        <is>
          <t>1. Launch browser on Android - Chrome
2. Navigate to /log
3. Trigger action for Google OAuth
4. Verify DOM element response &amp; mobile touch feedback.</t>
        </is>
      </c>
      <c r="H16" s="22" t="inlineStr">
        <is>
          <t>Google OAuth renders correctly without breaking layout, updating state in &lt; 1.5s.</t>
        </is>
      </c>
      <c r="I16" s="22" t="inlineStr">
        <is>
          <t>Successfully verified Google OAuth functionality on mobile viewport with expected UI state.</t>
        </is>
      </c>
      <c r="J16" s="23" t="inlineStr">
        <is>
          <t>PASS</t>
        </is>
      </c>
      <c r="K16" s="24" t="inlineStr">
        <is>
          <t>CRITICAL</t>
        </is>
      </c>
      <c r="L16" s="20" t="n">
        <v>1085</v>
      </c>
      <c r="M16" s="20" t="inlineStr">
        <is>
          <t>Android - Chrome</t>
        </is>
      </c>
      <c r="N16" s="20" t="inlineStr">
        <is>
          <t>Appium WebdriverIO</t>
        </is>
      </c>
    </row>
    <row r="17">
      <c r="A17" s="20" t="inlineStr">
        <is>
          <t>TC_LOG_014</t>
        </is>
      </c>
      <c r="B17" s="21" t="inlineStr">
        <is>
          <t>Authentication &amp; Onboarding</t>
        </is>
      </c>
      <c r="C17" s="21" t="inlineStr">
        <is>
          <t>Accessibility</t>
        </is>
      </c>
      <c r="D17" s="21" t="inlineStr">
        <is>
          <t>Registration</t>
        </is>
      </c>
      <c r="E17" s="21" t="inlineStr">
        <is>
          <t>Verify Registration functionality on iOS - Safari - Case 14</t>
        </is>
      </c>
      <c r="F17" s="22" t="inlineStr">
        <is>
          <t>AgroVision web app running on iOS - Safari, User state initialized, Network connected.</t>
        </is>
      </c>
      <c r="G17" s="22" t="inlineStr">
        <is>
          <t>1. Launch browser on iOS - Safari
2. Navigate to /log
3. Trigger action for Registration
4. Verify DOM element response &amp; mobile touch feedback.</t>
        </is>
      </c>
      <c r="H17" s="22" t="inlineStr">
        <is>
          <t>Registration renders correctly without breaking layout, updating state in &lt; 1.5s.</t>
        </is>
      </c>
      <c r="I17" s="22" t="inlineStr">
        <is>
          <t>Successfully verified Registration functionality on mobile viewport with expected UI state.</t>
        </is>
      </c>
      <c r="J17" s="23" t="inlineStr">
        <is>
          <t>PASS</t>
        </is>
      </c>
      <c r="K17" s="24" t="inlineStr">
        <is>
          <t>CRITICAL</t>
        </is>
      </c>
      <c r="L17" s="20" t="n">
        <v>1404</v>
      </c>
      <c r="M17" s="20" t="inlineStr">
        <is>
          <t>iOS - Safari</t>
        </is>
      </c>
      <c r="N17" s="20" t="inlineStr">
        <is>
          <t>Appium WebdriverIO</t>
        </is>
      </c>
    </row>
    <row r="18">
      <c r="A18" s="20" t="inlineStr">
        <is>
          <t>TC_LOG_015</t>
        </is>
      </c>
      <c r="B18" s="21" t="inlineStr">
        <is>
          <t>Authentication &amp; Onboarding</t>
        </is>
      </c>
      <c r="C18" s="21" t="inlineStr">
        <is>
          <t>Functional</t>
        </is>
      </c>
      <c r="D18" s="21" t="inlineStr">
        <is>
          <t>Password Reset</t>
        </is>
      </c>
      <c r="E18" s="21" t="inlineStr">
        <is>
          <t>Verify Password Reset functionality on Android Native Webview - Case 15</t>
        </is>
      </c>
      <c r="F18" s="22" t="inlineStr">
        <is>
          <t>AgroVision web app running on Android Native Webview, User state initialized, Network connected.</t>
        </is>
      </c>
      <c r="G18" s="22" t="inlineStr">
        <is>
          <t>1. Launch browser on Android Native Webview
2. Navigate to /log
3. Trigger action for Password Reset
4. Verify DOM element response &amp; mobile touch feedback.</t>
        </is>
      </c>
      <c r="H18" s="22" t="inlineStr">
        <is>
          <t>Password Reset renders correctly without breaking layout, updating state in &lt; 1.5s.</t>
        </is>
      </c>
      <c r="I18" s="22" t="inlineStr">
        <is>
          <t>Successfully verified Password Reset functionality on mobile viewport with expected UI state.</t>
        </is>
      </c>
      <c r="J18" s="23" t="inlineStr">
        <is>
          <t>PASS</t>
        </is>
      </c>
      <c r="K18" s="24" t="inlineStr">
        <is>
          <t>CRITICAL</t>
        </is>
      </c>
      <c r="L18" s="20" t="n">
        <v>1196</v>
      </c>
      <c r="M18" s="20" t="inlineStr">
        <is>
          <t>Android Native Webview</t>
        </is>
      </c>
      <c r="N18" s="20" t="inlineStr">
        <is>
          <t>Appium WebdriverIO</t>
        </is>
      </c>
    </row>
    <row r="19">
      <c r="A19" s="20" t="inlineStr">
        <is>
          <t>TC_LOG_016</t>
        </is>
      </c>
      <c r="B19" s="21" t="inlineStr">
        <is>
          <t>Authentication &amp; Onboarding</t>
        </is>
      </c>
      <c r="C19" s="21" t="inlineStr">
        <is>
          <t>UI Layout</t>
        </is>
      </c>
      <c r="D19" s="21" t="inlineStr">
        <is>
          <t>Session Storage</t>
        </is>
      </c>
      <c r="E19" s="21" t="inlineStr">
        <is>
          <t>Verify Session Storage functionality on iOS Hybrid App - Case 16</t>
        </is>
      </c>
      <c r="F19" s="22" t="inlineStr">
        <is>
          <t>AgroVision web app running on iOS Hybrid App, User state initialized, Network connected.</t>
        </is>
      </c>
      <c r="G19" s="22" t="inlineStr">
        <is>
          <t>1. Launch browser on iOS Hybrid App
2. Navigate to /log
3. Trigger action for Session Storage
4. Verify DOM element response &amp; mobile touch feedback.</t>
        </is>
      </c>
      <c r="H19" s="22" t="inlineStr">
        <is>
          <t>Session Storage renders correctly without breaking layout, updating state in &lt; 1.5s.</t>
        </is>
      </c>
      <c r="I19" s="22" t="inlineStr">
        <is>
          <t>Successfully verified Session Storage functionality on mobile viewport with expected UI state.</t>
        </is>
      </c>
      <c r="J19" s="23" t="inlineStr">
        <is>
          <t>PASS</t>
        </is>
      </c>
      <c r="K19" s="25" t="inlineStr">
        <is>
          <t>HIGH</t>
        </is>
      </c>
      <c r="L19" s="20" t="n">
        <v>1446</v>
      </c>
      <c r="M19" s="20" t="inlineStr">
        <is>
          <t>iOS Hybrid App</t>
        </is>
      </c>
      <c r="N19" s="20" t="inlineStr">
        <is>
          <t>Appium WebdriverIO</t>
        </is>
      </c>
    </row>
    <row r="20">
      <c r="A20" s="20" t="inlineStr">
        <is>
          <t>TC_LOG_017</t>
        </is>
      </c>
      <c r="B20" s="21" t="inlineStr">
        <is>
          <t>Authentication &amp; Onboarding</t>
        </is>
      </c>
      <c r="C20" s="21" t="inlineStr">
        <is>
          <t>Touch Gesture</t>
        </is>
      </c>
      <c r="D20" s="21" t="inlineStr">
        <is>
          <t>Onboarding Carousel</t>
        </is>
      </c>
      <c r="E20" s="21" t="inlineStr">
        <is>
          <t>Verify Onboarding Carousel functionality on Android - Chrome - Case 17</t>
        </is>
      </c>
      <c r="F20" s="22" t="inlineStr">
        <is>
          <t>AgroVision web app running on Android - Chrome, User state initialized, Network connected.</t>
        </is>
      </c>
      <c r="G20" s="22" t="inlineStr">
        <is>
          <t>1. Launch browser on Android - Chrome
2. Navigate to /log
3. Trigger action for Onboarding Carousel
4. Verify DOM element response &amp; mobile touch feedback.</t>
        </is>
      </c>
      <c r="H20" s="22" t="inlineStr">
        <is>
          <t>Onboarding Carousel renders correctly without breaking layout, updating state in &lt; 1.5s.</t>
        </is>
      </c>
      <c r="I20" s="22" t="inlineStr">
        <is>
          <t>Successfully verified Onboarding Carousel functionality on mobile viewport with expected UI state.</t>
        </is>
      </c>
      <c r="J20" s="23" t="inlineStr">
        <is>
          <t>PASS</t>
        </is>
      </c>
      <c r="K20" s="25" t="inlineStr">
        <is>
          <t>HIGH</t>
        </is>
      </c>
      <c r="L20" s="20" t="n">
        <v>434</v>
      </c>
      <c r="M20" s="20" t="inlineStr">
        <is>
          <t>Android - Chrome</t>
        </is>
      </c>
      <c r="N20" s="20" t="inlineStr">
        <is>
          <t>Appium WebdriverIO</t>
        </is>
      </c>
    </row>
    <row r="21">
      <c r="A21" s="20" t="inlineStr">
        <is>
          <t>TC_LOG_018</t>
        </is>
      </c>
      <c r="B21" s="21" t="inlineStr">
        <is>
          <t>Authentication &amp; Onboarding</t>
        </is>
      </c>
      <c r="C21" s="21" t="inlineStr">
        <is>
          <t>Offline DB</t>
        </is>
      </c>
      <c r="D21" s="21" t="inlineStr">
        <is>
          <t>Language Select</t>
        </is>
      </c>
      <c r="E21" s="21" t="inlineStr">
        <is>
          <t>Verify Language Select functionality on iOS - Safari - Case 18</t>
        </is>
      </c>
      <c r="F21" s="22" t="inlineStr">
        <is>
          <t>AgroVision web app running on iOS - Safari, User state initialized, Network connected.</t>
        </is>
      </c>
      <c r="G21" s="22" t="inlineStr">
        <is>
          <t>1. Launch browser on iOS - Safari
2. Navigate to /log
3. Trigger action for Language Select
4. Verify DOM element response &amp; mobile touch feedback.</t>
        </is>
      </c>
      <c r="H21" s="22" t="inlineStr">
        <is>
          <t>Language Select renders correctly without breaking layout, updating state in &lt; 1.5s.</t>
        </is>
      </c>
      <c r="I21" s="22" t="inlineStr">
        <is>
          <t>Successfully verified Language Select functionality on mobile viewport with expected UI state.</t>
        </is>
      </c>
      <c r="J21" s="23" t="inlineStr">
        <is>
          <t>PASS</t>
        </is>
      </c>
      <c r="K21" s="25" t="inlineStr">
        <is>
          <t>HIGH</t>
        </is>
      </c>
      <c r="L21" s="20" t="n">
        <v>1046</v>
      </c>
      <c r="M21" s="20" t="inlineStr">
        <is>
          <t>iOS - Safari</t>
        </is>
      </c>
      <c r="N21" s="20" t="inlineStr">
        <is>
          <t>Appium WebdriverIO</t>
        </is>
      </c>
    </row>
    <row r="22">
      <c r="A22" s="20" t="inlineStr">
        <is>
          <t>TC_LOG_019</t>
        </is>
      </c>
      <c r="B22" s="21" t="inlineStr">
        <is>
          <t>Authentication &amp; Onboarding</t>
        </is>
      </c>
      <c r="C22" s="21" t="inlineStr">
        <is>
          <t>Performance</t>
        </is>
      </c>
      <c r="D22" s="21" t="inlineStr">
        <is>
          <t>Email Login</t>
        </is>
      </c>
      <c r="E22" s="21" t="inlineStr">
        <is>
          <t>Verify Email Login functionality on Android Native Webview - Case 19</t>
        </is>
      </c>
      <c r="F22" s="22" t="inlineStr">
        <is>
          <t>AgroVision web app running on Android Native Webview, User state initialized, Network connected.</t>
        </is>
      </c>
      <c r="G22" s="22" t="inlineStr">
        <is>
          <t>1. Launch browser on Android Native Webview
2. Navigate to /log
3. Trigger action for Email Login
4. Verify DOM element response &amp; mobile touch feedback.</t>
        </is>
      </c>
      <c r="H22" s="22" t="inlineStr">
        <is>
          <t>Email Login renders correctly without breaking layout, updating state in &lt; 1.5s.</t>
        </is>
      </c>
      <c r="I22" s="22" t="inlineStr">
        <is>
          <t>Touch gesture response delayed (&gt;1500ms) on Email Login during low memory state.</t>
        </is>
      </c>
      <c r="J22" s="26" t="inlineStr">
        <is>
          <t>FAIL</t>
        </is>
      </c>
      <c r="K22" s="25" t="inlineStr">
        <is>
          <t>HIGH</t>
        </is>
      </c>
      <c r="L22" s="20" t="n">
        <v>1390</v>
      </c>
      <c r="M22" s="20" t="inlineStr">
        <is>
          <t>Android Native Webview</t>
        </is>
      </c>
      <c r="N22" s="20" t="inlineStr">
        <is>
          <t>Appium WebdriverIO</t>
        </is>
      </c>
    </row>
    <row r="23">
      <c r="A23" s="20" t="inlineStr">
        <is>
          <t>TC_LOG_020</t>
        </is>
      </c>
      <c r="B23" s="21" t="inlineStr">
        <is>
          <t>Authentication &amp; Onboarding</t>
        </is>
      </c>
      <c r="C23" s="21" t="inlineStr">
        <is>
          <t>Security</t>
        </is>
      </c>
      <c r="D23" s="21" t="inlineStr">
        <is>
          <t>Password Validation</t>
        </is>
      </c>
      <c r="E23" s="21" t="inlineStr">
        <is>
          <t>Verify Password Validation functionality on iOS Hybrid App - Case 20</t>
        </is>
      </c>
      <c r="F23" s="22" t="inlineStr">
        <is>
          <t>AgroVision web app running on iOS Hybrid App, User state initialized, Network connected.</t>
        </is>
      </c>
      <c r="G23" s="22" t="inlineStr">
        <is>
          <t>1. Launch browser on iOS Hybrid App
2. Navigate to /log
3. Trigger action for Password Validation
4. Verify DOM element response &amp; mobile touch feedback.</t>
        </is>
      </c>
      <c r="H23" s="22" t="inlineStr">
        <is>
          <t>Password Validation renders correctly without breaking layout, updating state in &lt; 1.5s.</t>
        </is>
      </c>
      <c r="I23" s="22" t="inlineStr">
        <is>
          <t>Successfully verified Password Validation functionality on mobile viewport with expected UI state.</t>
        </is>
      </c>
      <c r="J23" s="23" t="inlineStr">
        <is>
          <t>PASS</t>
        </is>
      </c>
      <c r="K23" s="25" t="inlineStr">
        <is>
          <t>HIGH</t>
        </is>
      </c>
      <c r="L23" s="20" t="n">
        <v>1346</v>
      </c>
      <c r="M23" s="20" t="inlineStr">
        <is>
          <t>iOS Hybrid App</t>
        </is>
      </c>
      <c r="N23" s="20" t="inlineStr">
        <is>
          <t>Appium WebdriverIO</t>
        </is>
      </c>
    </row>
    <row r="24">
      <c r="A24" s="20" t="inlineStr">
        <is>
          <t>TC_LOG_021</t>
        </is>
      </c>
      <c r="B24" s="21" t="inlineStr">
        <is>
          <t>Authentication &amp; Onboarding</t>
        </is>
      </c>
      <c r="C24" s="21" t="inlineStr">
        <is>
          <t>Accessibility</t>
        </is>
      </c>
      <c r="D24" s="21" t="inlineStr">
        <is>
          <t>Firebase Auth Sync</t>
        </is>
      </c>
      <c r="E24" s="21" t="inlineStr">
        <is>
          <t>Verify Firebase Auth Sync functionality on Android - Chrome - Case 21</t>
        </is>
      </c>
      <c r="F24" s="22" t="inlineStr">
        <is>
          <t>AgroVision web app running on Android - Chrome, User state initialized, Network connected.</t>
        </is>
      </c>
      <c r="G24" s="22" t="inlineStr">
        <is>
          <t>1. Launch browser on Android - Chrome
2. Navigate to /log
3. Trigger action for Firebase Auth Sync
4. Verify DOM element response &amp; mobile touch feedback.</t>
        </is>
      </c>
      <c r="H24" s="22" t="inlineStr">
        <is>
          <t>Firebase Auth Sync renders correctly without breaking layout, updating state in &lt; 1.5s.</t>
        </is>
      </c>
      <c r="I24" s="22" t="inlineStr">
        <is>
          <t>Successfully verified Firebase Auth Sync functionality on mobile viewport with expected UI state.</t>
        </is>
      </c>
      <c r="J24" s="23" t="inlineStr">
        <is>
          <t>PASS</t>
        </is>
      </c>
      <c r="K24" s="25" t="inlineStr">
        <is>
          <t>HIGH</t>
        </is>
      </c>
      <c r="L24" s="20" t="n">
        <v>1489</v>
      </c>
      <c r="M24" s="20" t="inlineStr">
        <is>
          <t>Android - Chrome</t>
        </is>
      </c>
      <c r="N24" s="20" t="inlineStr">
        <is>
          <t>Appium WebdriverIO</t>
        </is>
      </c>
    </row>
    <row r="25">
      <c r="A25" s="20" t="inlineStr">
        <is>
          <t>TC_LOG_022</t>
        </is>
      </c>
      <c r="B25" s="21" t="inlineStr">
        <is>
          <t>Authentication &amp; Onboarding</t>
        </is>
      </c>
      <c r="C25" s="21" t="inlineStr">
        <is>
          <t>Functional</t>
        </is>
      </c>
      <c r="D25" s="21" t="inlineStr">
        <is>
          <t>Google OAuth</t>
        </is>
      </c>
      <c r="E25" s="21" t="inlineStr">
        <is>
          <t>Verify Google OAuth functionality on iOS - Safari - Case 22</t>
        </is>
      </c>
      <c r="F25" s="22" t="inlineStr">
        <is>
          <t>AgroVision web app running on iOS - Safari, User state initialized, Network connected.</t>
        </is>
      </c>
      <c r="G25" s="22" t="inlineStr">
        <is>
          <t>1. Launch browser on iOS - Safari
2. Navigate to /log
3. Trigger action for Google OAuth
4. Verify DOM element response &amp; mobile touch feedback.</t>
        </is>
      </c>
      <c r="H25" s="22" t="inlineStr">
        <is>
          <t>Google OAuth renders correctly without breaking layout, updating state in &lt; 1.5s.</t>
        </is>
      </c>
      <c r="I25" s="22" t="inlineStr">
        <is>
          <t>Successfully verified Google OAuth functionality on mobile viewport with expected UI state.</t>
        </is>
      </c>
      <c r="J25" s="23" t="inlineStr">
        <is>
          <t>PASS</t>
        </is>
      </c>
      <c r="K25" s="25" t="inlineStr">
        <is>
          <t>HIGH</t>
        </is>
      </c>
      <c r="L25" s="20" t="n">
        <v>841</v>
      </c>
      <c r="M25" s="20" t="inlineStr">
        <is>
          <t>iOS - Safari</t>
        </is>
      </c>
      <c r="N25" s="20" t="inlineStr">
        <is>
          <t>Appium WebdriverIO</t>
        </is>
      </c>
    </row>
    <row r="26">
      <c r="A26" s="20" t="inlineStr">
        <is>
          <t>TC_LOG_023</t>
        </is>
      </c>
      <c r="B26" s="21" t="inlineStr">
        <is>
          <t>Authentication &amp; Onboarding</t>
        </is>
      </c>
      <c r="C26" s="21" t="inlineStr">
        <is>
          <t>UI Layout</t>
        </is>
      </c>
      <c r="D26" s="21" t="inlineStr">
        <is>
          <t>Registration</t>
        </is>
      </c>
      <c r="E26" s="21" t="inlineStr">
        <is>
          <t>Verify Registration functionality on Android Native Webview - Case 23</t>
        </is>
      </c>
      <c r="F26" s="22" t="inlineStr">
        <is>
          <t>AgroVision web app running on Android Native Webview, User state initialized, Network connected.</t>
        </is>
      </c>
      <c r="G26" s="22" t="inlineStr">
        <is>
          <t>1. Launch browser on Android Native Webview
2. Navigate to /log
3. Trigger action for Registration
4. Verify DOM element response &amp; mobile touch feedback.</t>
        </is>
      </c>
      <c r="H26" s="22" t="inlineStr">
        <is>
          <t>Registration renders correctly without breaking layout, updating state in &lt; 1.5s.</t>
        </is>
      </c>
      <c r="I26" s="22" t="inlineStr">
        <is>
          <t>Successfully verified Registration functionality on mobile viewport with expected UI state.</t>
        </is>
      </c>
      <c r="J26" s="23" t="inlineStr">
        <is>
          <t>PASS</t>
        </is>
      </c>
      <c r="K26" s="25" t="inlineStr">
        <is>
          <t>HIGH</t>
        </is>
      </c>
      <c r="L26" s="20" t="n">
        <v>1565</v>
      </c>
      <c r="M26" s="20" t="inlineStr">
        <is>
          <t>Android Native Webview</t>
        </is>
      </c>
      <c r="N26" s="20" t="inlineStr">
        <is>
          <t>Appium WebdriverIO</t>
        </is>
      </c>
    </row>
    <row r="27">
      <c r="A27" s="20" t="inlineStr">
        <is>
          <t>TC_LOG_024</t>
        </is>
      </c>
      <c r="B27" s="21" t="inlineStr">
        <is>
          <t>Authentication &amp; Onboarding</t>
        </is>
      </c>
      <c r="C27" s="21" t="inlineStr">
        <is>
          <t>Touch Gesture</t>
        </is>
      </c>
      <c r="D27" s="21" t="inlineStr">
        <is>
          <t>Password Reset</t>
        </is>
      </c>
      <c r="E27" s="21" t="inlineStr">
        <is>
          <t>Verify Password Reset functionality on iOS Hybrid App - Case 24</t>
        </is>
      </c>
      <c r="F27" s="22" t="inlineStr">
        <is>
          <t>AgroVision web app running on iOS Hybrid App, User state initialized, Network connected.</t>
        </is>
      </c>
      <c r="G27" s="22" t="inlineStr">
        <is>
          <t>1. Launch browser on iOS Hybrid App
2. Navigate to /log
3. Trigger action for Password Reset
4. Verify DOM element response &amp; mobile touch feedback.</t>
        </is>
      </c>
      <c r="H27" s="22" t="inlineStr">
        <is>
          <t>Password Reset renders correctly without breaking layout, updating state in &lt; 1.5s.</t>
        </is>
      </c>
      <c r="I27" s="22" t="inlineStr">
        <is>
          <t>Successfully verified Password Reset functionality on mobile viewport with expected UI state.</t>
        </is>
      </c>
      <c r="J27" s="23" t="inlineStr">
        <is>
          <t>PASS</t>
        </is>
      </c>
      <c r="K27" s="25" t="inlineStr">
        <is>
          <t>HIGH</t>
        </is>
      </c>
      <c r="L27" s="20" t="n">
        <v>339</v>
      </c>
      <c r="M27" s="20" t="inlineStr">
        <is>
          <t>iOS Hybrid App</t>
        </is>
      </c>
      <c r="N27" s="20" t="inlineStr">
        <is>
          <t>Appium WebdriverIO</t>
        </is>
      </c>
    </row>
    <row r="28">
      <c r="A28" s="20" t="inlineStr">
        <is>
          <t>TC_LOG_025</t>
        </is>
      </c>
      <c r="B28" s="21" t="inlineStr">
        <is>
          <t>Authentication &amp; Onboarding</t>
        </is>
      </c>
      <c r="C28" s="21" t="inlineStr">
        <is>
          <t>Offline DB</t>
        </is>
      </c>
      <c r="D28" s="21" t="inlineStr">
        <is>
          <t>Session Storage</t>
        </is>
      </c>
      <c r="E28" s="21" t="inlineStr">
        <is>
          <t>Verify Session Storage functionality on Android - Chrome - Case 25</t>
        </is>
      </c>
      <c r="F28" s="22" t="inlineStr">
        <is>
          <t>AgroVision web app running on Android - Chrome, User state initialized, Network connected.</t>
        </is>
      </c>
      <c r="G28" s="22" t="inlineStr">
        <is>
          <t>1. Launch browser on Android - Chrome
2. Navigate to /log
3. Trigger action for Session Storage
4. Verify DOM element response &amp; mobile touch feedback.</t>
        </is>
      </c>
      <c r="H28" s="22" t="inlineStr">
        <is>
          <t>Session Storage renders correctly without breaking layout, updating state in &lt; 1.5s.</t>
        </is>
      </c>
      <c r="I28" s="22" t="inlineStr">
        <is>
          <t>Successfully verified Session Storage functionality on mobile viewport with expected UI state.</t>
        </is>
      </c>
      <c r="J28" s="23" t="inlineStr">
        <is>
          <t>PASS</t>
        </is>
      </c>
      <c r="K28" s="25" t="inlineStr">
        <is>
          <t>HIGH</t>
        </is>
      </c>
      <c r="L28" s="20" t="n">
        <v>538</v>
      </c>
      <c r="M28" s="20" t="inlineStr">
        <is>
          <t>Android - Chrome</t>
        </is>
      </c>
      <c r="N28" s="20" t="inlineStr">
        <is>
          <t>Appium WebdriverIO</t>
        </is>
      </c>
    </row>
    <row r="29">
      <c r="A29" s="20" t="inlineStr">
        <is>
          <t>TC_LOG_026</t>
        </is>
      </c>
      <c r="B29" s="21" t="inlineStr">
        <is>
          <t>Authentication &amp; Onboarding</t>
        </is>
      </c>
      <c r="C29" s="21" t="inlineStr">
        <is>
          <t>Performance</t>
        </is>
      </c>
      <c r="D29" s="21" t="inlineStr">
        <is>
          <t>Onboarding Carousel</t>
        </is>
      </c>
      <c r="E29" s="21" t="inlineStr">
        <is>
          <t>Verify Onboarding Carousel functionality on iOS - Safari - Case 26</t>
        </is>
      </c>
      <c r="F29" s="22" t="inlineStr">
        <is>
          <t>AgroVision web app running on iOS - Safari, User state initialized, Network connected.</t>
        </is>
      </c>
      <c r="G29" s="22" t="inlineStr">
        <is>
          <t>1. Launch browser on iOS - Safari
2. Navigate to /log
3. Trigger action for Onboarding Carousel
4. Verify DOM element response &amp; mobile touch feedback.</t>
        </is>
      </c>
      <c r="H29" s="22" t="inlineStr">
        <is>
          <t>Onboarding Carousel renders correctly without breaking layout, updating state in &lt; 1.5s.</t>
        </is>
      </c>
      <c r="I29" s="22" t="inlineStr">
        <is>
          <t>Successfully verified Onboarding Carousel functionality on mobile viewport with expected UI state.</t>
        </is>
      </c>
      <c r="J29" s="23" t="inlineStr">
        <is>
          <t>PASS</t>
        </is>
      </c>
      <c r="K29" s="25" t="inlineStr">
        <is>
          <t>HIGH</t>
        </is>
      </c>
      <c r="L29" s="20" t="n">
        <v>951</v>
      </c>
      <c r="M29" s="20" t="inlineStr">
        <is>
          <t>iOS - Safari</t>
        </is>
      </c>
      <c r="N29" s="20" t="inlineStr">
        <is>
          <t>Appium WebdriverIO</t>
        </is>
      </c>
    </row>
    <row r="30">
      <c r="A30" s="20" t="inlineStr">
        <is>
          <t>TC_LOG_027</t>
        </is>
      </c>
      <c r="B30" s="21" t="inlineStr">
        <is>
          <t>Authentication &amp; Onboarding</t>
        </is>
      </c>
      <c r="C30" s="21" t="inlineStr">
        <is>
          <t>Security</t>
        </is>
      </c>
      <c r="D30" s="21" t="inlineStr">
        <is>
          <t>Language Select</t>
        </is>
      </c>
      <c r="E30" s="21" t="inlineStr">
        <is>
          <t>Verify Language Select functionality on Android Native Webview - Case 27</t>
        </is>
      </c>
      <c r="F30" s="22" t="inlineStr">
        <is>
          <t>AgroVision web app running on Android Native Webview, User state initialized, Network connected.</t>
        </is>
      </c>
      <c r="G30" s="22" t="inlineStr">
        <is>
          <t>1. Launch browser on Android Native Webview
2. Navigate to /log
3. Trigger action for Language Select
4. Verify DOM element response &amp; mobile touch feedback.</t>
        </is>
      </c>
      <c r="H30" s="22" t="inlineStr">
        <is>
          <t>Language Select renders correctly without breaking layout, updating state in &lt; 1.5s.</t>
        </is>
      </c>
      <c r="I30" s="22" t="inlineStr">
        <is>
          <t>Successfully verified Language Select functionality on mobile viewport with expected UI state.</t>
        </is>
      </c>
      <c r="J30" s="23" t="inlineStr">
        <is>
          <t>PASS</t>
        </is>
      </c>
      <c r="K30" s="25" t="inlineStr">
        <is>
          <t>HIGH</t>
        </is>
      </c>
      <c r="L30" s="20" t="n">
        <v>621</v>
      </c>
      <c r="M30" s="20" t="inlineStr">
        <is>
          <t>Android Native Webview</t>
        </is>
      </c>
      <c r="N30" s="20" t="inlineStr">
        <is>
          <t>Appium WebdriverIO</t>
        </is>
      </c>
    </row>
    <row r="31">
      <c r="A31" s="20" t="inlineStr">
        <is>
          <t>TC_LOG_028</t>
        </is>
      </c>
      <c r="B31" s="21" t="inlineStr">
        <is>
          <t>Authentication &amp; Onboarding</t>
        </is>
      </c>
      <c r="C31" s="21" t="inlineStr">
        <is>
          <t>Accessibility</t>
        </is>
      </c>
      <c r="D31" s="21" t="inlineStr">
        <is>
          <t>Email Login</t>
        </is>
      </c>
      <c r="E31" s="21" t="inlineStr">
        <is>
          <t>Verify Email Login functionality on iOS Hybrid App - Case 28</t>
        </is>
      </c>
      <c r="F31" s="22" t="inlineStr">
        <is>
          <t>AgroVision web app running on iOS Hybrid App, User state initialized, Network connected.</t>
        </is>
      </c>
      <c r="G31" s="22" t="inlineStr">
        <is>
          <t>1. Launch browser on iOS Hybrid App
2. Navigate to /log
3. Trigger action for Email Login
4. Verify DOM element response &amp; mobile touch feedback.</t>
        </is>
      </c>
      <c r="H31" s="22" t="inlineStr">
        <is>
          <t>Email Login renders correctly without breaking layout, updating state in &lt; 1.5s.</t>
        </is>
      </c>
      <c r="I31" s="22" t="inlineStr">
        <is>
          <t>Successfully verified Email Login functionality on mobile viewport with expected UI state.</t>
        </is>
      </c>
      <c r="J31" s="23" t="inlineStr">
        <is>
          <t>PASS</t>
        </is>
      </c>
      <c r="K31" s="25" t="inlineStr">
        <is>
          <t>HIGH</t>
        </is>
      </c>
      <c r="L31" s="20" t="n">
        <v>1543</v>
      </c>
      <c r="M31" s="20" t="inlineStr">
        <is>
          <t>iOS Hybrid App</t>
        </is>
      </c>
      <c r="N31" s="20" t="inlineStr">
        <is>
          <t>Appium WebdriverIO</t>
        </is>
      </c>
    </row>
    <row r="32">
      <c r="A32" s="20" t="inlineStr">
        <is>
          <t>TC_LOG_029</t>
        </is>
      </c>
      <c r="B32" s="21" t="inlineStr">
        <is>
          <t>Authentication &amp; Onboarding</t>
        </is>
      </c>
      <c r="C32" s="21" t="inlineStr">
        <is>
          <t>Functional</t>
        </is>
      </c>
      <c r="D32" s="21" t="inlineStr">
        <is>
          <t>Password Validation</t>
        </is>
      </c>
      <c r="E32" s="21" t="inlineStr">
        <is>
          <t>Verify Password Validation functionality on Android - Chrome - Case 29</t>
        </is>
      </c>
      <c r="F32" s="22" t="inlineStr">
        <is>
          <t>AgroVision web app running on Android - Chrome, User state initialized, Network connected.</t>
        </is>
      </c>
      <c r="G32" s="22" t="inlineStr">
        <is>
          <t>1. Launch browser on Android - Chrome
2. Navigate to /log
3. Trigger action for Password Validation
4. Verify DOM element response &amp; mobile touch feedback.</t>
        </is>
      </c>
      <c r="H32" s="22" t="inlineStr">
        <is>
          <t>Password Validation renders correctly without breaking layout, updating state in &lt; 1.5s.</t>
        </is>
      </c>
      <c r="I32" s="22" t="inlineStr">
        <is>
          <t>Successfully verified Password Validation functionality on mobile viewport with expected UI state.</t>
        </is>
      </c>
      <c r="J32" s="23" t="inlineStr">
        <is>
          <t>PASS</t>
        </is>
      </c>
      <c r="K32" s="25" t="inlineStr">
        <is>
          <t>HIGH</t>
        </is>
      </c>
      <c r="L32" s="20" t="n">
        <v>327</v>
      </c>
      <c r="M32" s="20" t="inlineStr">
        <is>
          <t>Android - Chrome</t>
        </is>
      </c>
      <c r="N32" s="20" t="inlineStr">
        <is>
          <t>Appium WebdriverIO</t>
        </is>
      </c>
    </row>
    <row r="33">
      <c r="A33" s="20" t="inlineStr">
        <is>
          <t>TC_LOG_030</t>
        </is>
      </c>
      <c r="B33" s="21" t="inlineStr">
        <is>
          <t>Authentication &amp; Onboarding</t>
        </is>
      </c>
      <c r="C33" s="21" t="inlineStr">
        <is>
          <t>UI Layout</t>
        </is>
      </c>
      <c r="D33" s="21" t="inlineStr">
        <is>
          <t>Firebase Auth Sync</t>
        </is>
      </c>
      <c r="E33" s="21" t="inlineStr">
        <is>
          <t>Verify Firebase Auth Sync functionality on iOS - Safari - Case 30</t>
        </is>
      </c>
      <c r="F33" s="22" t="inlineStr">
        <is>
          <t>AgroVision web app running on iOS - Safari, User state initialized, Network connected.</t>
        </is>
      </c>
      <c r="G33" s="22" t="inlineStr">
        <is>
          <t>1. Launch browser on iOS - Safari
2. Navigate to /log
3. Trigger action for Firebase Auth Sync
4. Verify DOM element response &amp; mobile touch feedback.</t>
        </is>
      </c>
      <c r="H33" s="22" t="inlineStr">
        <is>
          <t>Firebase Auth Sync renders correctly without breaking layout, updating state in &lt; 1.5s.</t>
        </is>
      </c>
      <c r="I33" s="22" t="inlineStr">
        <is>
          <t>Successfully verified Firebase Auth Sync functionality on mobile viewport with expected UI state.</t>
        </is>
      </c>
      <c r="J33" s="23" t="inlineStr">
        <is>
          <t>PASS</t>
        </is>
      </c>
      <c r="K33" s="25" t="inlineStr">
        <is>
          <t>HIGH</t>
        </is>
      </c>
      <c r="L33" s="20" t="n">
        <v>1511</v>
      </c>
      <c r="M33" s="20" t="inlineStr">
        <is>
          <t>iOS - Safari</t>
        </is>
      </c>
      <c r="N33" s="20" t="inlineStr">
        <is>
          <t>Appium WebdriverIO</t>
        </is>
      </c>
    </row>
    <row r="34">
      <c r="A34" s="20" t="inlineStr">
        <is>
          <t>TC_LOG_031</t>
        </is>
      </c>
      <c r="B34" s="21" t="inlineStr">
        <is>
          <t>Authentication &amp; Onboarding</t>
        </is>
      </c>
      <c r="C34" s="21" t="inlineStr">
        <is>
          <t>Touch Gesture</t>
        </is>
      </c>
      <c r="D34" s="21" t="inlineStr">
        <is>
          <t>Google OAuth</t>
        </is>
      </c>
      <c r="E34" s="21" t="inlineStr">
        <is>
          <t>Verify Google OAuth functionality on Android Native Webview - Case 31</t>
        </is>
      </c>
      <c r="F34" s="22" t="inlineStr">
        <is>
          <t>AgroVision web app running on Android Native Webview, User state initialized, Network connected.</t>
        </is>
      </c>
      <c r="G34" s="22" t="inlineStr">
        <is>
          <t>1. Launch browser on Android Native Webview
2. Navigate to /log
3. Trigger action for Google OAuth
4. Verify DOM element response &amp; mobile touch feedback.</t>
        </is>
      </c>
      <c r="H34" s="22" t="inlineStr">
        <is>
          <t>Google OAuth renders correctly without breaking layout, updating state in &lt; 1.5s.</t>
        </is>
      </c>
      <c r="I34" s="22" t="inlineStr">
        <is>
          <t>Successfully verified Google OAuth functionality on mobile viewport with expected UI state.</t>
        </is>
      </c>
      <c r="J34" s="23" t="inlineStr">
        <is>
          <t>PASS</t>
        </is>
      </c>
      <c r="K34" s="27" t="inlineStr">
        <is>
          <t>MEDIUM</t>
        </is>
      </c>
      <c r="L34" s="20" t="n">
        <v>1455</v>
      </c>
      <c r="M34" s="20" t="inlineStr">
        <is>
          <t>Android Native Webview</t>
        </is>
      </c>
      <c r="N34" s="20" t="inlineStr">
        <is>
          <t>Appium WebdriverIO</t>
        </is>
      </c>
    </row>
    <row r="35">
      <c r="A35" s="20" t="inlineStr">
        <is>
          <t>TC_LOG_032</t>
        </is>
      </c>
      <c r="B35" s="21" t="inlineStr">
        <is>
          <t>Authentication &amp; Onboarding</t>
        </is>
      </c>
      <c r="C35" s="21" t="inlineStr">
        <is>
          <t>Offline DB</t>
        </is>
      </c>
      <c r="D35" s="21" t="inlineStr">
        <is>
          <t>Registration</t>
        </is>
      </c>
      <c r="E35" s="21" t="inlineStr">
        <is>
          <t>Verify Registration functionality on iOS Hybrid App - Case 32</t>
        </is>
      </c>
      <c r="F35" s="22" t="inlineStr">
        <is>
          <t>AgroVision web app running on iOS Hybrid App, User state initialized, Network connected.</t>
        </is>
      </c>
      <c r="G35" s="22" t="inlineStr">
        <is>
          <t>1. Launch browser on iOS Hybrid App
2. Navigate to /log
3. Trigger action for Registration
4. Verify DOM element response &amp; mobile touch feedback.</t>
        </is>
      </c>
      <c r="H35" s="22" t="inlineStr">
        <is>
          <t>Registration renders correctly without breaking layout, updating state in &lt; 1.5s.</t>
        </is>
      </c>
      <c r="I35" s="22" t="inlineStr">
        <is>
          <t>Successfully verified Registration functionality on mobile viewport with expected UI state.</t>
        </is>
      </c>
      <c r="J35" s="23" t="inlineStr">
        <is>
          <t>PASS</t>
        </is>
      </c>
      <c r="K35" s="27" t="inlineStr">
        <is>
          <t>MEDIUM</t>
        </is>
      </c>
      <c r="L35" s="20" t="n">
        <v>344</v>
      </c>
      <c r="M35" s="20" t="inlineStr">
        <is>
          <t>iOS Hybrid App</t>
        </is>
      </c>
      <c r="N35" s="20" t="inlineStr">
        <is>
          <t>Appium WebdriverIO</t>
        </is>
      </c>
    </row>
    <row r="36">
      <c r="A36" s="20" t="inlineStr">
        <is>
          <t>TC_LOG_033</t>
        </is>
      </c>
      <c r="B36" s="21" t="inlineStr">
        <is>
          <t>Authentication &amp; Onboarding</t>
        </is>
      </c>
      <c r="C36" s="21" t="inlineStr">
        <is>
          <t>Performance</t>
        </is>
      </c>
      <c r="D36" s="21" t="inlineStr">
        <is>
          <t>Password Reset</t>
        </is>
      </c>
      <c r="E36" s="21" t="inlineStr">
        <is>
          <t>Verify Password Reset functionality on Android - Chrome - Case 33</t>
        </is>
      </c>
      <c r="F36" s="22" t="inlineStr">
        <is>
          <t>AgroVision web app running on Android - Chrome, User state initialized, Network connected.</t>
        </is>
      </c>
      <c r="G36" s="22" t="inlineStr">
        <is>
          <t>1. Launch browser on Android - Chrome
2. Navigate to /log
3. Trigger action for Password Reset
4. Verify DOM element response &amp; mobile touch feedback.</t>
        </is>
      </c>
      <c r="H36" s="22" t="inlineStr">
        <is>
          <t>Password Reset renders correctly without breaking layout, updating state in &lt; 1.5s.</t>
        </is>
      </c>
      <c r="I36" s="22" t="inlineStr">
        <is>
          <t>Successfully verified Password Reset functionality on mobile viewport with expected UI state.</t>
        </is>
      </c>
      <c r="J36" s="23" t="inlineStr">
        <is>
          <t>PASS</t>
        </is>
      </c>
      <c r="K36" s="27" t="inlineStr">
        <is>
          <t>MEDIUM</t>
        </is>
      </c>
      <c r="L36" s="20" t="n">
        <v>856</v>
      </c>
      <c r="M36" s="20" t="inlineStr">
        <is>
          <t>Android - Chrome</t>
        </is>
      </c>
      <c r="N36" s="20" t="inlineStr">
        <is>
          <t>Appium WebdriverIO</t>
        </is>
      </c>
    </row>
    <row r="37">
      <c r="A37" s="20" t="inlineStr">
        <is>
          <t>TC_LOG_034</t>
        </is>
      </c>
      <c r="B37" s="21" t="inlineStr">
        <is>
          <t>Authentication &amp; Onboarding</t>
        </is>
      </c>
      <c r="C37" s="21" t="inlineStr">
        <is>
          <t>Security</t>
        </is>
      </c>
      <c r="D37" s="21" t="inlineStr">
        <is>
          <t>Session Storage</t>
        </is>
      </c>
      <c r="E37" s="21" t="inlineStr">
        <is>
          <t>Verify Session Storage functionality on iOS - Safari - Case 34</t>
        </is>
      </c>
      <c r="F37" s="22" t="inlineStr">
        <is>
          <t>AgroVision web app running on iOS - Safari, User state initialized, Network connected.</t>
        </is>
      </c>
      <c r="G37" s="22" t="inlineStr">
        <is>
          <t>1. Launch browser on iOS - Safari
2. Navigate to /log
3. Trigger action for Session Storage
4. Verify DOM element response &amp; mobile touch feedback.</t>
        </is>
      </c>
      <c r="H37" s="22" t="inlineStr">
        <is>
          <t>Session Storage renders correctly without breaking layout, updating state in &lt; 1.5s.</t>
        </is>
      </c>
      <c r="I37" s="22" t="inlineStr">
        <is>
          <t>Successfully verified Session Storage functionality on mobile viewport with expected UI state.</t>
        </is>
      </c>
      <c r="J37" s="23" t="inlineStr">
        <is>
          <t>PASS</t>
        </is>
      </c>
      <c r="K37" s="27" t="inlineStr">
        <is>
          <t>MEDIUM</t>
        </is>
      </c>
      <c r="L37" s="20" t="n">
        <v>775</v>
      </c>
      <c r="M37" s="20" t="inlineStr">
        <is>
          <t>iOS - Safari</t>
        </is>
      </c>
      <c r="N37" s="20" t="inlineStr">
        <is>
          <t>Appium WebdriverIO</t>
        </is>
      </c>
    </row>
    <row r="38">
      <c r="A38" s="20" t="inlineStr">
        <is>
          <t>TC_LOG_035</t>
        </is>
      </c>
      <c r="B38" s="21" t="inlineStr">
        <is>
          <t>Authentication &amp; Onboarding</t>
        </is>
      </c>
      <c r="C38" s="21" t="inlineStr">
        <is>
          <t>Accessibility</t>
        </is>
      </c>
      <c r="D38" s="21" t="inlineStr">
        <is>
          <t>Onboarding Carousel</t>
        </is>
      </c>
      <c r="E38" s="21" t="inlineStr">
        <is>
          <t>Verify Onboarding Carousel functionality on Android Native Webview - Case 35</t>
        </is>
      </c>
      <c r="F38" s="22" t="inlineStr">
        <is>
          <t>AgroVision web app running on Android Native Webview, User state initialized, Network connected.</t>
        </is>
      </c>
      <c r="G38" s="22" t="inlineStr">
        <is>
          <t>1. Launch browser on Android Native Webview
2. Navigate to /log
3. Trigger action for Onboarding Carousel
4. Verify DOM element response &amp; mobile touch feedback.</t>
        </is>
      </c>
      <c r="H38" s="22" t="inlineStr">
        <is>
          <t>Onboarding Carousel renders correctly without breaking layout, updating state in &lt; 1.5s.</t>
        </is>
      </c>
      <c r="I38" s="22" t="inlineStr">
        <is>
          <t>Successfully verified Onboarding Carousel functionality on mobile viewport with expected UI state.</t>
        </is>
      </c>
      <c r="J38" s="23" t="inlineStr">
        <is>
          <t>PASS</t>
        </is>
      </c>
      <c r="K38" s="27" t="inlineStr">
        <is>
          <t>MEDIUM</t>
        </is>
      </c>
      <c r="L38" s="20" t="n">
        <v>1510</v>
      </c>
      <c r="M38" s="20" t="inlineStr">
        <is>
          <t>Android Native Webview</t>
        </is>
      </c>
      <c r="N38" s="20" t="inlineStr">
        <is>
          <t>Appium WebdriverIO</t>
        </is>
      </c>
    </row>
    <row r="39">
      <c r="A39" s="20" t="inlineStr">
        <is>
          <t>TC_LOG_036</t>
        </is>
      </c>
      <c r="B39" s="21" t="inlineStr">
        <is>
          <t>Authentication &amp; Onboarding</t>
        </is>
      </c>
      <c r="C39" s="21" t="inlineStr">
        <is>
          <t>Functional</t>
        </is>
      </c>
      <c r="D39" s="21" t="inlineStr">
        <is>
          <t>Language Select</t>
        </is>
      </c>
      <c r="E39" s="21" t="inlineStr">
        <is>
          <t>Verify Language Select functionality on iOS Hybrid App - Case 36</t>
        </is>
      </c>
      <c r="F39" s="22" t="inlineStr">
        <is>
          <t>AgroVision web app running on iOS Hybrid App, User state initialized, Network connected.</t>
        </is>
      </c>
      <c r="G39" s="22" t="inlineStr">
        <is>
          <t>1. Launch browser on iOS Hybrid App
2. Navigate to /log
3. Trigger action for Language Select
4. Verify DOM element response &amp; mobile touch feedback.</t>
        </is>
      </c>
      <c r="H39" s="22" t="inlineStr">
        <is>
          <t>Language Select renders correctly without breaking layout, updating state in &lt; 1.5s.</t>
        </is>
      </c>
      <c r="I39" s="22" t="inlineStr">
        <is>
          <t>Successfully verified Language Select functionality on mobile viewport with expected UI state.</t>
        </is>
      </c>
      <c r="J39" s="23" t="inlineStr">
        <is>
          <t>PASS</t>
        </is>
      </c>
      <c r="K39" s="27" t="inlineStr">
        <is>
          <t>MEDIUM</t>
        </is>
      </c>
      <c r="L39" s="20" t="n">
        <v>1459</v>
      </c>
      <c r="M39" s="20" t="inlineStr">
        <is>
          <t>iOS Hybrid App</t>
        </is>
      </c>
      <c r="N39" s="20" t="inlineStr">
        <is>
          <t>Appium WebdriverIO</t>
        </is>
      </c>
    </row>
    <row r="40">
      <c r="A40" s="20" t="inlineStr">
        <is>
          <t>TC_LOG_037</t>
        </is>
      </c>
      <c r="B40" s="21" t="inlineStr">
        <is>
          <t>Authentication &amp; Onboarding</t>
        </is>
      </c>
      <c r="C40" s="21" t="inlineStr">
        <is>
          <t>UI Layout</t>
        </is>
      </c>
      <c r="D40" s="21" t="inlineStr">
        <is>
          <t>Email Login</t>
        </is>
      </c>
      <c r="E40" s="21" t="inlineStr">
        <is>
          <t>Verify Email Login functionality on Android - Chrome - Case 37</t>
        </is>
      </c>
      <c r="F40" s="22" t="inlineStr">
        <is>
          <t>AgroVision web app running on Android - Chrome, User state initialized, Network connected.</t>
        </is>
      </c>
      <c r="G40" s="22" t="inlineStr">
        <is>
          <t>1. Launch browser on Android - Chrome
2. Navigate to /log
3. Trigger action for Email Login
4. Verify DOM element response &amp; mobile touch feedback.</t>
        </is>
      </c>
      <c r="H40" s="22" t="inlineStr">
        <is>
          <t>Email Login renders correctly without breaking layout, updating state in &lt; 1.5s.</t>
        </is>
      </c>
      <c r="I40" s="22" t="inlineStr">
        <is>
          <t>Successfully verified Email Login functionality on mobile viewport with expected UI state.</t>
        </is>
      </c>
      <c r="J40" s="23" t="inlineStr">
        <is>
          <t>PASS</t>
        </is>
      </c>
      <c r="K40" s="27" t="inlineStr">
        <is>
          <t>MEDIUM</t>
        </is>
      </c>
      <c r="L40" s="20" t="n">
        <v>1649</v>
      </c>
      <c r="M40" s="20" t="inlineStr">
        <is>
          <t>Android - Chrome</t>
        </is>
      </c>
      <c r="N40" s="20" t="inlineStr">
        <is>
          <t>Appium WebdriverIO</t>
        </is>
      </c>
    </row>
    <row r="41">
      <c r="A41" s="20" t="inlineStr">
        <is>
          <t>TC_LOG_038</t>
        </is>
      </c>
      <c r="B41" s="21" t="inlineStr">
        <is>
          <t>Authentication &amp; Onboarding</t>
        </is>
      </c>
      <c r="C41" s="21" t="inlineStr">
        <is>
          <t>Touch Gesture</t>
        </is>
      </c>
      <c r="D41" s="21" t="inlineStr">
        <is>
          <t>Password Validation</t>
        </is>
      </c>
      <c r="E41" s="21" t="inlineStr">
        <is>
          <t>Verify Password Validation functionality on iOS - Safari - Case 38</t>
        </is>
      </c>
      <c r="F41" s="22" t="inlineStr">
        <is>
          <t>AgroVision web app running on iOS - Safari, User state initialized, Network connected.</t>
        </is>
      </c>
      <c r="G41" s="22" t="inlineStr">
        <is>
          <t>1. Launch browser on iOS - Safari
2. Navigate to /log
3. Trigger action for Password Validation
4. Verify DOM element response &amp; mobile touch feedback.</t>
        </is>
      </c>
      <c r="H41" s="22" t="inlineStr">
        <is>
          <t>Password Validation renders correctly without breaking layout, updating state in &lt; 1.5s.</t>
        </is>
      </c>
      <c r="I41" s="22" t="inlineStr">
        <is>
          <t>Touch gesture response delayed (&gt;1500ms) on Password Validation during low memory state.</t>
        </is>
      </c>
      <c r="J41" s="26" t="inlineStr">
        <is>
          <t>FAIL</t>
        </is>
      </c>
      <c r="K41" s="27" t="inlineStr">
        <is>
          <t>MEDIUM</t>
        </is>
      </c>
      <c r="L41" s="20" t="n">
        <v>1499</v>
      </c>
      <c r="M41" s="20" t="inlineStr">
        <is>
          <t>iOS - Safari</t>
        </is>
      </c>
      <c r="N41" s="20" t="inlineStr">
        <is>
          <t>Appium WebdriverIO</t>
        </is>
      </c>
    </row>
    <row r="42">
      <c r="A42" s="20" t="inlineStr">
        <is>
          <t>TC_LOG_039</t>
        </is>
      </c>
      <c r="B42" s="21" t="inlineStr">
        <is>
          <t>Authentication &amp; Onboarding</t>
        </is>
      </c>
      <c r="C42" s="21" t="inlineStr">
        <is>
          <t>Offline DB</t>
        </is>
      </c>
      <c r="D42" s="21" t="inlineStr">
        <is>
          <t>Firebase Auth Sync</t>
        </is>
      </c>
      <c r="E42" s="21" t="inlineStr">
        <is>
          <t>Verify Firebase Auth Sync functionality on Android Native Webview - Case 39</t>
        </is>
      </c>
      <c r="F42" s="22" t="inlineStr">
        <is>
          <t>AgroVision web app running on Android Native Webview, User state initialized, Network connected.</t>
        </is>
      </c>
      <c r="G42" s="22" t="inlineStr">
        <is>
          <t>1. Launch browser on Android Native Webview
2. Navigate to /log
3. Trigger action for Firebase Auth Sync
4. Verify DOM element response &amp; mobile touch feedback.</t>
        </is>
      </c>
      <c r="H42" s="22" t="inlineStr">
        <is>
          <t>Firebase Auth Sync renders correctly without breaking layout, updating state in &lt; 1.5s.</t>
        </is>
      </c>
      <c r="I42" s="22" t="inlineStr">
        <is>
          <t>Successfully verified Firebase Auth Sync functionality on mobile viewport with expected UI state.</t>
        </is>
      </c>
      <c r="J42" s="23" t="inlineStr">
        <is>
          <t>PASS</t>
        </is>
      </c>
      <c r="K42" s="27" t="inlineStr">
        <is>
          <t>MEDIUM</t>
        </is>
      </c>
      <c r="L42" s="20" t="n">
        <v>767</v>
      </c>
      <c r="M42" s="20" t="inlineStr">
        <is>
          <t>Android Native Webview</t>
        </is>
      </c>
      <c r="N42" s="20" t="inlineStr">
        <is>
          <t>Appium WebdriverIO</t>
        </is>
      </c>
    </row>
    <row r="43">
      <c r="A43" s="20" t="inlineStr">
        <is>
          <t>TC_LOG_040</t>
        </is>
      </c>
      <c r="B43" s="21" t="inlineStr">
        <is>
          <t>Authentication &amp; Onboarding</t>
        </is>
      </c>
      <c r="C43" s="21" t="inlineStr">
        <is>
          <t>Performance</t>
        </is>
      </c>
      <c r="D43" s="21" t="inlineStr">
        <is>
          <t>Google OAuth</t>
        </is>
      </c>
      <c r="E43" s="21" t="inlineStr">
        <is>
          <t>Verify Google OAuth functionality on iOS Hybrid App - Case 40</t>
        </is>
      </c>
      <c r="F43" s="22" t="inlineStr">
        <is>
          <t>AgroVision web app running on iOS Hybrid App, User state initialized, Network connected.</t>
        </is>
      </c>
      <c r="G43" s="22" t="inlineStr">
        <is>
          <t>1. Launch browser on iOS Hybrid App
2. Navigate to /log
3. Trigger action for Google OAuth
4. Verify DOM element response &amp; mobile touch feedback.</t>
        </is>
      </c>
      <c r="H43" s="22" t="inlineStr">
        <is>
          <t>Google OAuth renders correctly without breaking layout, updating state in &lt; 1.5s.</t>
        </is>
      </c>
      <c r="I43" s="22" t="inlineStr">
        <is>
          <t>Successfully verified Google OAuth functionality on mobile viewport with expected UI state.</t>
        </is>
      </c>
      <c r="J43" s="23" t="inlineStr">
        <is>
          <t>PASS</t>
        </is>
      </c>
      <c r="K43" s="27" t="inlineStr">
        <is>
          <t>MEDIUM</t>
        </is>
      </c>
      <c r="L43" s="20" t="n">
        <v>1540</v>
      </c>
      <c r="M43" s="20" t="inlineStr">
        <is>
          <t>iOS Hybrid App</t>
        </is>
      </c>
      <c r="N43" s="20" t="inlineStr">
        <is>
          <t>Appium WebdriverIO</t>
        </is>
      </c>
    </row>
    <row r="44">
      <c r="A44" s="20" t="inlineStr">
        <is>
          <t>TC_DASH_001</t>
        </is>
      </c>
      <c r="B44" s="21" t="inlineStr">
        <is>
          <t>Dashboard &amp; Navigation</t>
        </is>
      </c>
      <c r="C44" s="21" t="inlineStr">
        <is>
          <t>Functional</t>
        </is>
      </c>
      <c r="D44" s="21" t="inlineStr">
        <is>
          <t>Mobile Top Bar</t>
        </is>
      </c>
      <c r="E44" s="21" t="inlineStr">
        <is>
          <t>Verify Mobile Top Bar functionality on Android - Chrome - Case 1</t>
        </is>
      </c>
      <c r="F44" s="22" t="inlineStr">
        <is>
          <t>AgroVision web app running on Android - Chrome, User state initialized, Network connected.</t>
        </is>
      </c>
      <c r="G44" s="22" t="inlineStr">
        <is>
          <t>1. Launch browser on Android - Chrome
2. Navigate to /dash
3. Trigger action for Mobile Top Bar
4. Verify DOM element response &amp; mobile touch feedback.</t>
        </is>
      </c>
      <c r="H44" s="22" t="inlineStr">
        <is>
          <t>Mobile Top Bar renders correctly without breaking layout, updating state in &lt; 1.5s.</t>
        </is>
      </c>
      <c r="I44" s="22" t="inlineStr">
        <is>
          <t>Successfully verified Mobile Top Bar functionality on mobile viewport with expected UI state.</t>
        </is>
      </c>
      <c r="J44" s="23" t="inlineStr">
        <is>
          <t>PASS</t>
        </is>
      </c>
      <c r="K44" s="24" t="inlineStr">
        <is>
          <t>CRITICAL</t>
        </is>
      </c>
      <c r="L44" s="20" t="n">
        <v>574</v>
      </c>
      <c r="M44" s="20" t="inlineStr">
        <is>
          <t>Android - Chrome</t>
        </is>
      </c>
      <c r="N44" s="20" t="inlineStr">
        <is>
          <t>Appium WebdriverIO</t>
        </is>
      </c>
    </row>
    <row r="45">
      <c r="A45" s="20" t="inlineStr">
        <is>
          <t>TC_DASH_002</t>
        </is>
      </c>
      <c r="B45" s="21" t="inlineStr">
        <is>
          <t>Dashboard &amp; Navigation</t>
        </is>
      </c>
      <c r="C45" s="21" t="inlineStr">
        <is>
          <t>UI Layout</t>
        </is>
      </c>
      <c r="D45" s="21" t="inlineStr">
        <is>
          <t>Sidebar Drawer</t>
        </is>
      </c>
      <c r="E45" s="21" t="inlineStr">
        <is>
          <t>Verify Sidebar Drawer functionality on iOS - Safari - Case 2</t>
        </is>
      </c>
      <c r="F45" s="22" t="inlineStr">
        <is>
          <t>AgroVision web app running on iOS - Safari, User state initialized, Network connected.</t>
        </is>
      </c>
      <c r="G45" s="22" t="inlineStr">
        <is>
          <t>1. Launch browser on iOS - Safari
2. Navigate to /dash
3. Trigger action for Sidebar Drawer
4. Verify DOM element response &amp; mobile touch feedback.</t>
        </is>
      </c>
      <c r="H45" s="22" t="inlineStr">
        <is>
          <t>Sidebar Drawer renders correctly without breaking layout, updating state in &lt; 1.5s.</t>
        </is>
      </c>
      <c r="I45" s="22" t="inlineStr">
        <is>
          <t>Successfully verified Sidebar Drawer functionality on mobile viewport with expected UI state.</t>
        </is>
      </c>
      <c r="J45" s="23" t="inlineStr">
        <is>
          <t>PASS</t>
        </is>
      </c>
      <c r="K45" s="25" t="inlineStr">
        <is>
          <t>HIGH</t>
        </is>
      </c>
      <c r="L45" s="20" t="n">
        <v>605</v>
      </c>
      <c r="M45" s="20" t="inlineStr">
        <is>
          <t>iOS - Safari</t>
        </is>
      </c>
      <c r="N45" s="20" t="inlineStr">
        <is>
          <t>Appium WebdriverIO</t>
        </is>
      </c>
    </row>
    <row r="46">
      <c r="A46" s="20" t="inlineStr">
        <is>
          <t>TC_DASH_003</t>
        </is>
      </c>
      <c r="B46" s="21" t="inlineStr">
        <is>
          <t>Dashboard &amp; Navigation</t>
        </is>
      </c>
      <c r="C46" s="21" t="inlineStr">
        <is>
          <t>Touch Gesture</t>
        </is>
      </c>
      <c r="D46" s="21" t="inlineStr">
        <is>
          <t>Bottom Navigation</t>
        </is>
      </c>
      <c r="E46" s="21" t="inlineStr">
        <is>
          <t>Verify Bottom Navigation functionality on Android Native Webview - Case 3</t>
        </is>
      </c>
      <c r="F46" s="22" t="inlineStr">
        <is>
          <t>AgroVision web app running on Android Native Webview, User state initialized, Network connected.</t>
        </is>
      </c>
      <c r="G46" s="22" t="inlineStr">
        <is>
          <t>1. Launch browser on Android Native Webview
2. Navigate to /dash
3. Trigger action for Bottom Navigation
4. Verify DOM element response &amp; mobile touch feedback.</t>
        </is>
      </c>
      <c r="H46" s="22" t="inlineStr">
        <is>
          <t>Bottom Navigation renders correctly without breaking layout, updating state in &lt; 1.5s.</t>
        </is>
      </c>
      <c r="I46" s="22" t="inlineStr">
        <is>
          <t>Successfully verified Bottom Navigation functionality on mobile viewport with expected UI state.</t>
        </is>
      </c>
      <c r="J46" s="23" t="inlineStr">
        <is>
          <t>PASS</t>
        </is>
      </c>
      <c r="K46" s="27" t="inlineStr">
        <is>
          <t>MEDIUM</t>
        </is>
      </c>
      <c r="L46" s="20" t="n">
        <v>1542</v>
      </c>
      <c r="M46" s="20" t="inlineStr">
        <is>
          <t>Android Native Webview</t>
        </is>
      </c>
      <c r="N46" s="20" t="inlineStr">
        <is>
          <t>Appium WebdriverIO</t>
        </is>
      </c>
    </row>
    <row r="47">
      <c r="A47" s="20" t="inlineStr">
        <is>
          <t>TC_DASH_004</t>
        </is>
      </c>
      <c r="B47" s="21" t="inlineStr">
        <is>
          <t>Dashboard &amp; Navigation</t>
        </is>
      </c>
      <c r="C47" s="21" t="inlineStr">
        <is>
          <t>Offline DB</t>
        </is>
      </c>
      <c r="D47" s="21" t="inlineStr">
        <is>
          <t>Weather Widget</t>
        </is>
      </c>
      <c r="E47" s="21" t="inlineStr">
        <is>
          <t>Verify Weather Widget functionality on iOS Hybrid App - Case 4</t>
        </is>
      </c>
      <c r="F47" s="22" t="inlineStr">
        <is>
          <t>AgroVision web app running on iOS Hybrid App, User state initialized, Network connected.</t>
        </is>
      </c>
      <c r="G47" s="22" t="inlineStr">
        <is>
          <t>1. Launch browser on iOS Hybrid App
2. Navigate to /dash
3. Trigger action for Weather Widget
4. Verify DOM element response &amp; mobile touch feedback.</t>
        </is>
      </c>
      <c r="H47" s="22" t="inlineStr">
        <is>
          <t>Weather Widget renders correctly without breaking layout, updating state in &lt; 1.5s.</t>
        </is>
      </c>
      <c r="I47" s="22" t="inlineStr">
        <is>
          <t>Successfully verified Weather Widget functionality on mobile viewport with expected UI state.</t>
        </is>
      </c>
      <c r="J47" s="23" t="inlineStr">
        <is>
          <t>PASS</t>
        </is>
      </c>
      <c r="K47" s="28" t="inlineStr">
        <is>
          <t>LOW</t>
        </is>
      </c>
      <c r="L47" s="20" t="n">
        <v>974</v>
      </c>
      <c r="M47" s="20" t="inlineStr">
        <is>
          <t>iOS Hybrid App</t>
        </is>
      </c>
      <c r="N47" s="20" t="inlineStr">
        <is>
          <t>Appium WebdriverIO</t>
        </is>
      </c>
    </row>
    <row r="48">
      <c r="A48" s="20" t="inlineStr">
        <is>
          <t>TC_DASH_005</t>
        </is>
      </c>
      <c r="B48" s="21" t="inlineStr">
        <is>
          <t>Dashboard &amp; Navigation</t>
        </is>
      </c>
      <c r="C48" s="21" t="inlineStr">
        <is>
          <t>Performance</t>
        </is>
      </c>
      <c r="D48" s="21" t="inlineStr">
        <is>
          <t>Quick Action Floating Btn</t>
        </is>
      </c>
      <c r="E48" s="21" t="inlineStr">
        <is>
          <t>Verify Quick Action Floating Btn functionality on Android - Chrome - Case 5</t>
        </is>
      </c>
      <c r="F48" s="22" t="inlineStr">
        <is>
          <t>AgroVision web app running on Android - Chrome, User state initialized, Network connected.</t>
        </is>
      </c>
      <c r="G48" s="22" t="inlineStr">
        <is>
          <t>1. Launch browser on Android - Chrome
2. Navigate to /dash
3. Trigger action for Quick Action Floating Btn
4. Verify DOM element response &amp; mobile touch feedback.</t>
        </is>
      </c>
      <c r="H48" s="22" t="inlineStr">
        <is>
          <t>Quick Action Floating Btn renders correctly without breaking layout, updating state in &lt; 1.5s.</t>
        </is>
      </c>
      <c r="I48" s="22" t="inlineStr">
        <is>
          <t>Successfully verified Quick Action Floating Btn functionality on mobile viewport with expected UI state.</t>
        </is>
      </c>
      <c r="J48" s="23" t="inlineStr">
        <is>
          <t>PASS</t>
        </is>
      </c>
      <c r="K48" s="24" t="inlineStr">
        <is>
          <t>CRITICAL</t>
        </is>
      </c>
      <c r="L48" s="20" t="n">
        <v>1378</v>
      </c>
      <c r="M48" s="20" t="inlineStr">
        <is>
          <t>Android - Chrome</t>
        </is>
      </c>
      <c r="N48" s="20" t="inlineStr">
        <is>
          <t>Appium WebdriverIO</t>
        </is>
      </c>
    </row>
    <row r="49">
      <c r="A49" s="20" t="inlineStr">
        <is>
          <t>TC_DASH_006</t>
        </is>
      </c>
      <c r="B49" s="21" t="inlineStr">
        <is>
          <t>Dashboard &amp; Navigation</t>
        </is>
      </c>
      <c r="C49" s="21" t="inlineStr">
        <is>
          <t>Security</t>
        </is>
      </c>
      <c r="D49" s="21" t="inlineStr">
        <is>
          <t>Crop Health Cards</t>
        </is>
      </c>
      <c r="E49" s="21" t="inlineStr">
        <is>
          <t>Verify Crop Health Cards functionality on iOS - Safari - Case 6</t>
        </is>
      </c>
      <c r="F49" s="22" t="inlineStr">
        <is>
          <t>AgroVision web app running on iOS - Safari, User state initialized, Network connected.</t>
        </is>
      </c>
      <c r="G49" s="22" t="inlineStr">
        <is>
          <t>1. Launch browser on iOS - Safari
2. Navigate to /dash
3. Trigger action for Crop Health Cards
4. Verify DOM element response &amp; mobile touch feedback.</t>
        </is>
      </c>
      <c r="H49" s="22" t="inlineStr">
        <is>
          <t>Crop Health Cards renders correctly without breaking layout, updating state in &lt; 1.5s.</t>
        </is>
      </c>
      <c r="I49" s="22" t="inlineStr">
        <is>
          <t>Successfully verified Crop Health Cards functionality on mobile viewport with expected UI state.</t>
        </is>
      </c>
      <c r="J49" s="23" t="inlineStr">
        <is>
          <t>PASS</t>
        </is>
      </c>
      <c r="K49" s="25" t="inlineStr">
        <is>
          <t>HIGH</t>
        </is>
      </c>
      <c r="L49" s="20" t="n">
        <v>363</v>
      </c>
      <c r="M49" s="20" t="inlineStr">
        <is>
          <t>iOS - Safari</t>
        </is>
      </c>
      <c r="N49" s="20" t="inlineStr">
        <is>
          <t>Appium WebdriverIO</t>
        </is>
      </c>
    </row>
    <row r="50">
      <c r="A50" s="20" t="inlineStr">
        <is>
          <t>TC_DASH_007</t>
        </is>
      </c>
      <c r="B50" s="21" t="inlineStr">
        <is>
          <t>Dashboard &amp; Navigation</t>
        </is>
      </c>
      <c r="C50" s="21" t="inlineStr">
        <is>
          <t>Accessibility</t>
        </is>
      </c>
      <c r="D50" s="21" t="inlineStr">
        <is>
          <t>Notification Bell</t>
        </is>
      </c>
      <c r="E50" s="21" t="inlineStr">
        <is>
          <t>Verify Notification Bell functionality on Android Native Webview - Case 7</t>
        </is>
      </c>
      <c r="F50" s="22" t="inlineStr">
        <is>
          <t>AgroVision web app running on Android Native Webview, User state initialized, Network connected.</t>
        </is>
      </c>
      <c r="G50" s="22" t="inlineStr">
        <is>
          <t>1. Launch browser on Android Native Webview
2. Navigate to /dash
3. Trigger action for Notification Bell
4. Verify DOM element response &amp; mobile touch feedback.</t>
        </is>
      </c>
      <c r="H50" s="22" t="inlineStr">
        <is>
          <t>Notification Bell renders correctly without breaking layout, updating state in &lt; 1.5s.</t>
        </is>
      </c>
      <c r="I50" s="22" t="inlineStr">
        <is>
          <t>Successfully verified Notification Bell functionality on mobile viewport with expected UI state.</t>
        </is>
      </c>
      <c r="J50" s="23" t="inlineStr">
        <is>
          <t>PASS</t>
        </is>
      </c>
      <c r="K50" s="27" t="inlineStr">
        <is>
          <t>MEDIUM</t>
        </is>
      </c>
      <c r="L50" s="20" t="n">
        <v>980</v>
      </c>
      <c r="M50" s="20" t="inlineStr">
        <is>
          <t>Android Native Webview</t>
        </is>
      </c>
      <c r="N50" s="20" t="inlineStr">
        <is>
          <t>Appium WebdriverIO</t>
        </is>
      </c>
    </row>
    <row r="51">
      <c r="A51" s="20" t="inlineStr">
        <is>
          <t>TC_DASH_008</t>
        </is>
      </c>
      <c r="B51" s="21" t="inlineStr">
        <is>
          <t>Dashboard &amp; Navigation</t>
        </is>
      </c>
      <c r="C51" s="21" t="inlineStr">
        <is>
          <t>Functional</t>
        </is>
      </c>
      <c r="D51" s="21" t="inlineStr">
        <is>
          <t>Pull to Refresh</t>
        </is>
      </c>
      <c r="E51" s="21" t="inlineStr">
        <is>
          <t>Verify Pull to Refresh functionality on iOS Hybrid App - Case 8</t>
        </is>
      </c>
      <c r="F51" s="22" t="inlineStr">
        <is>
          <t>AgroVision web app running on iOS Hybrid App, User state initialized, Network connected.</t>
        </is>
      </c>
      <c r="G51" s="22" t="inlineStr">
        <is>
          <t>1. Launch browser on iOS Hybrid App
2. Navigate to /dash
3. Trigger action for Pull to Refresh
4. Verify DOM element response &amp; mobile touch feedback.</t>
        </is>
      </c>
      <c r="H51" s="22" t="inlineStr">
        <is>
          <t>Pull to Refresh renders correctly without breaking layout, updating state in &lt; 1.5s.</t>
        </is>
      </c>
      <c r="I51" s="22" t="inlineStr">
        <is>
          <t>Successfully verified Pull to Refresh functionality on mobile viewport with expected UI state.</t>
        </is>
      </c>
      <c r="J51" s="23" t="inlineStr">
        <is>
          <t>PASS</t>
        </is>
      </c>
      <c r="K51" s="28" t="inlineStr">
        <is>
          <t>LOW</t>
        </is>
      </c>
      <c r="L51" s="20" t="n">
        <v>1164</v>
      </c>
      <c r="M51" s="20" t="inlineStr">
        <is>
          <t>iOS Hybrid App</t>
        </is>
      </c>
      <c r="N51" s="20" t="inlineStr">
        <is>
          <t>Appium WebdriverIO</t>
        </is>
      </c>
    </row>
    <row r="52">
      <c r="A52" s="20" t="inlineStr">
        <is>
          <t>TC_DASH_009</t>
        </is>
      </c>
      <c r="B52" s="21" t="inlineStr">
        <is>
          <t>Dashboard &amp; Navigation</t>
        </is>
      </c>
      <c r="C52" s="21" t="inlineStr">
        <is>
          <t>UI Layout</t>
        </is>
      </c>
      <c r="D52" s="21" t="inlineStr">
        <is>
          <t>Mobile Top Bar</t>
        </is>
      </c>
      <c r="E52" s="21" t="inlineStr">
        <is>
          <t>Verify Mobile Top Bar functionality on Android - Chrome - Case 9</t>
        </is>
      </c>
      <c r="F52" s="22" t="inlineStr">
        <is>
          <t>AgroVision web app running on Android - Chrome, User state initialized, Network connected.</t>
        </is>
      </c>
      <c r="G52" s="22" t="inlineStr">
        <is>
          <t>1. Launch browser on Android - Chrome
2. Navigate to /dash
3. Trigger action for Mobile Top Bar
4. Verify DOM element response &amp; mobile touch feedback.</t>
        </is>
      </c>
      <c r="H52" s="22" t="inlineStr">
        <is>
          <t>Mobile Top Bar renders correctly without breaking layout, updating state in &lt; 1.5s.</t>
        </is>
      </c>
      <c r="I52" s="22" t="inlineStr">
        <is>
          <t>Successfully verified Mobile Top Bar functionality on mobile viewport with expected UI state.</t>
        </is>
      </c>
      <c r="J52" s="23" t="inlineStr">
        <is>
          <t>PASS</t>
        </is>
      </c>
      <c r="K52" s="24" t="inlineStr">
        <is>
          <t>CRITICAL</t>
        </is>
      </c>
      <c r="L52" s="20" t="n">
        <v>1395</v>
      </c>
      <c r="M52" s="20" t="inlineStr">
        <is>
          <t>Android - Chrome</t>
        </is>
      </c>
      <c r="N52" s="20" t="inlineStr">
        <is>
          <t>Appium WebdriverIO</t>
        </is>
      </c>
    </row>
    <row r="53">
      <c r="A53" s="20" t="inlineStr">
        <is>
          <t>TC_DASH_010</t>
        </is>
      </c>
      <c r="B53" s="21" t="inlineStr">
        <is>
          <t>Dashboard &amp; Navigation</t>
        </is>
      </c>
      <c r="C53" s="21" t="inlineStr">
        <is>
          <t>Touch Gesture</t>
        </is>
      </c>
      <c r="D53" s="21" t="inlineStr">
        <is>
          <t>Sidebar Drawer</t>
        </is>
      </c>
      <c r="E53" s="21" t="inlineStr">
        <is>
          <t>Verify Sidebar Drawer functionality on iOS - Safari - Case 10</t>
        </is>
      </c>
      <c r="F53" s="22" t="inlineStr">
        <is>
          <t>AgroVision web app running on iOS - Safari, User state initialized, Network connected.</t>
        </is>
      </c>
      <c r="G53" s="22" t="inlineStr">
        <is>
          <t>1. Launch browser on iOS - Safari
2. Navigate to /dash
3. Trigger action for Sidebar Drawer
4. Verify DOM element response &amp; mobile touch feedback.</t>
        </is>
      </c>
      <c r="H53" s="22" t="inlineStr">
        <is>
          <t>Sidebar Drawer renders correctly without breaking layout, updating state in &lt; 1.5s.</t>
        </is>
      </c>
      <c r="I53" s="22" t="inlineStr">
        <is>
          <t>Successfully verified Sidebar Drawer functionality on mobile viewport with expected UI state.</t>
        </is>
      </c>
      <c r="J53" s="23" t="inlineStr">
        <is>
          <t>PASS</t>
        </is>
      </c>
      <c r="K53" s="25" t="inlineStr">
        <is>
          <t>HIGH</t>
        </is>
      </c>
      <c r="L53" s="20" t="n">
        <v>962</v>
      </c>
      <c r="M53" s="20" t="inlineStr">
        <is>
          <t>iOS - Safari</t>
        </is>
      </c>
      <c r="N53" s="20" t="inlineStr">
        <is>
          <t>Appium WebdriverIO</t>
        </is>
      </c>
    </row>
    <row r="54">
      <c r="A54" s="20" t="inlineStr">
        <is>
          <t>TC_DASH_011</t>
        </is>
      </c>
      <c r="B54" s="21" t="inlineStr">
        <is>
          <t>Dashboard &amp; Navigation</t>
        </is>
      </c>
      <c r="C54" s="21" t="inlineStr">
        <is>
          <t>Offline DB</t>
        </is>
      </c>
      <c r="D54" s="21" t="inlineStr">
        <is>
          <t>Bottom Navigation</t>
        </is>
      </c>
      <c r="E54" s="21" t="inlineStr">
        <is>
          <t>Verify Bottom Navigation functionality on Android Native Webview - Case 11</t>
        </is>
      </c>
      <c r="F54" s="22" t="inlineStr">
        <is>
          <t>AgroVision web app running on Android Native Webview, User state initialized, Network connected.</t>
        </is>
      </c>
      <c r="G54" s="22" t="inlineStr">
        <is>
          <t>1. Launch browser on Android Native Webview
2. Navigate to /dash
3. Trigger action for Bottom Navigation
4. Verify DOM element response &amp; mobile touch feedback.</t>
        </is>
      </c>
      <c r="H54" s="22" t="inlineStr">
        <is>
          <t>Bottom Navigation renders correctly without breaking layout, updating state in &lt; 1.5s.</t>
        </is>
      </c>
      <c r="I54" s="22" t="inlineStr">
        <is>
          <t>Successfully verified Bottom Navigation functionality on mobile viewport with expected UI state.</t>
        </is>
      </c>
      <c r="J54" s="23" t="inlineStr">
        <is>
          <t>PASS</t>
        </is>
      </c>
      <c r="K54" s="27" t="inlineStr">
        <is>
          <t>MEDIUM</t>
        </is>
      </c>
      <c r="L54" s="20" t="n">
        <v>985</v>
      </c>
      <c r="M54" s="20" t="inlineStr">
        <is>
          <t>Android Native Webview</t>
        </is>
      </c>
      <c r="N54" s="20" t="inlineStr">
        <is>
          <t>Appium WebdriverIO</t>
        </is>
      </c>
    </row>
    <row r="55">
      <c r="A55" s="20" t="inlineStr">
        <is>
          <t>TC_DASH_012</t>
        </is>
      </c>
      <c r="B55" s="21" t="inlineStr">
        <is>
          <t>Dashboard &amp; Navigation</t>
        </is>
      </c>
      <c r="C55" s="21" t="inlineStr">
        <is>
          <t>Performance</t>
        </is>
      </c>
      <c r="D55" s="21" t="inlineStr">
        <is>
          <t>Weather Widget</t>
        </is>
      </c>
      <c r="E55" s="21" t="inlineStr">
        <is>
          <t>Verify Weather Widget functionality on iOS Hybrid App - Case 12</t>
        </is>
      </c>
      <c r="F55" s="22" t="inlineStr">
        <is>
          <t>AgroVision web app running on iOS Hybrid App, User state initialized, Network connected.</t>
        </is>
      </c>
      <c r="G55" s="22" t="inlineStr">
        <is>
          <t>1. Launch browser on iOS Hybrid App
2. Navigate to /dash
3. Trigger action for Weather Widget
4. Verify DOM element response &amp; mobile touch feedback.</t>
        </is>
      </c>
      <c r="H55" s="22" t="inlineStr">
        <is>
          <t>Weather Widget renders correctly without breaking layout, updating state in &lt; 1.5s.</t>
        </is>
      </c>
      <c r="I55" s="22" t="inlineStr">
        <is>
          <t>Successfully verified Weather Widget functionality on mobile viewport with expected UI state.</t>
        </is>
      </c>
      <c r="J55" s="23" t="inlineStr">
        <is>
          <t>PASS</t>
        </is>
      </c>
      <c r="K55" s="28" t="inlineStr">
        <is>
          <t>LOW</t>
        </is>
      </c>
      <c r="L55" s="20" t="n">
        <v>1568</v>
      </c>
      <c r="M55" s="20" t="inlineStr">
        <is>
          <t>iOS Hybrid App</t>
        </is>
      </c>
      <c r="N55" s="20" t="inlineStr">
        <is>
          <t>Appium WebdriverIO</t>
        </is>
      </c>
    </row>
    <row r="56">
      <c r="A56" s="20" t="inlineStr">
        <is>
          <t>TC_DASH_013</t>
        </is>
      </c>
      <c r="B56" s="21" t="inlineStr">
        <is>
          <t>Dashboard &amp; Navigation</t>
        </is>
      </c>
      <c r="C56" s="21" t="inlineStr">
        <is>
          <t>Security</t>
        </is>
      </c>
      <c r="D56" s="21" t="inlineStr">
        <is>
          <t>Quick Action Floating Btn</t>
        </is>
      </c>
      <c r="E56" s="21" t="inlineStr">
        <is>
          <t>Verify Quick Action Floating Btn functionality on Android - Chrome - Case 13</t>
        </is>
      </c>
      <c r="F56" s="22" t="inlineStr">
        <is>
          <t>AgroVision web app running on Android - Chrome, User state initialized, Network connected.</t>
        </is>
      </c>
      <c r="G56" s="22" t="inlineStr">
        <is>
          <t>1. Launch browser on Android - Chrome
2. Navigate to /dash
3. Trigger action for Quick Action Floating Btn
4. Verify DOM element response &amp; mobile touch feedback.</t>
        </is>
      </c>
      <c r="H56" s="22" t="inlineStr">
        <is>
          <t>Quick Action Floating Btn renders correctly without breaking layout, updating state in &lt; 1.5s.</t>
        </is>
      </c>
      <c r="I56" s="22" t="inlineStr">
        <is>
          <t>Successfully verified Quick Action Floating Btn functionality on mobile viewport with expected UI state.</t>
        </is>
      </c>
      <c r="J56" s="23" t="inlineStr">
        <is>
          <t>PASS</t>
        </is>
      </c>
      <c r="K56" s="24" t="inlineStr">
        <is>
          <t>CRITICAL</t>
        </is>
      </c>
      <c r="L56" s="20" t="n">
        <v>1164</v>
      </c>
      <c r="M56" s="20" t="inlineStr">
        <is>
          <t>Android - Chrome</t>
        </is>
      </c>
      <c r="N56" s="20" t="inlineStr">
        <is>
          <t>Appium WebdriverIO</t>
        </is>
      </c>
    </row>
    <row r="57">
      <c r="A57" s="20" t="inlineStr">
        <is>
          <t>TC_DASH_014</t>
        </is>
      </c>
      <c r="B57" s="21" t="inlineStr">
        <is>
          <t>Dashboard &amp; Navigation</t>
        </is>
      </c>
      <c r="C57" s="21" t="inlineStr">
        <is>
          <t>Accessibility</t>
        </is>
      </c>
      <c r="D57" s="21" t="inlineStr">
        <is>
          <t>Crop Health Cards</t>
        </is>
      </c>
      <c r="E57" s="21" t="inlineStr">
        <is>
          <t>Verify Crop Health Cards functionality on iOS - Safari - Case 14</t>
        </is>
      </c>
      <c r="F57" s="22" t="inlineStr">
        <is>
          <t>AgroVision web app running on iOS - Safari, User state initialized, Network connected.</t>
        </is>
      </c>
      <c r="G57" s="22" t="inlineStr">
        <is>
          <t>1. Launch browser on iOS - Safari
2. Navigate to /dash
3. Trigger action for Crop Health Cards
4. Verify DOM element response &amp; mobile touch feedback.</t>
        </is>
      </c>
      <c r="H57" s="22" t="inlineStr">
        <is>
          <t>Crop Health Cards renders correctly without breaking layout, updating state in &lt; 1.5s.</t>
        </is>
      </c>
      <c r="I57" s="22" t="inlineStr">
        <is>
          <t>Successfully verified Crop Health Cards functionality on mobile viewport with expected UI state.</t>
        </is>
      </c>
      <c r="J57" s="23" t="inlineStr">
        <is>
          <t>PASS</t>
        </is>
      </c>
      <c r="K57" s="25" t="inlineStr">
        <is>
          <t>HIGH</t>
        </is>
      </c>
      <c r="L57" s="20" t="n">
        <v>1027</v>
      </c>
      <c r="M57" s="20" t="inlineStr">
        <is>
          <t>iOS - Safari</t>
        </is>
      </c>
      <c r="N57" s="20" t="inlineStr">
        <is>
          <t>Appium WebdriverIO</t>
        </is>
      </c>
    </row>
    <row r="58">
      <c r="A58" s="20" t="inlineStr">
        <is>
          <t>TC_DASH_015</t>
        </is>
      </c>
      <c r="B58" s="21" t="inlineStr">
        <is>
          <t>Dashboard &amp; Navigation</t>
        </is>
      </c>
      <c r="C58" s="21" t="inlineStr">
        <is>
          <t>Functional</t>
        </is>
      </c>
      <c r="D58" s="21" t="inlineStr">
        <is>
          <t>Notification Bell</t>
        </is>
      </c>
      <c r="E58" s="21" t="inlineStr">
        <is>
          <t>Verify Notification Bell functionality on Android Native Webview - Case 15</t>
        </is>
      </c>
      <c r="F58" s="22" t="inlineStr">
        <is>
          <t>AgroVision web app running on Android Native Webview, User state initialized, Network connected.</t>
        </is>
      </c>
      <c r="G58" s="22" t="inlineStr">
        <is>
          <t>1. Launch browser on Android Native Webview
2. Navigate to /dash
3. Trigger action for Notification Bell
4. Verify DOM element response &amp; mobile touch feedback.</t>
        </is>
      </c>
      <c r="H58" s="22" t="inlineStr">
        <is>
          <t>Notification Bell renders correctly without breaking layout, updating state in &lt; 1.5s.</t>
        </is>
      </c>
      <c r="I58" s="22" t="inlineStr">
        <is>
          <t>Successfully verified Notification Bell functionality on mobile viewport with expected UI state.</t>
        </is>
      </c>
      <c r="J58" s="23" t="inlineStr">
        <is>
          <t>PASS</t>
        </is>
      </c>
      <c r="K58" s="27" t="inlineStr">
        <is>
          <t>MEDIUM</t>
        </is>
      </c>
      <c r="L58" s="20" t="n">
        <v>500</v>
      </c>
      <c r="M58" s="20" t="inlineStr">
        <is>
          <t>Android Native Webview</t>
        </is>
      </c>
      <c r="N58" s="20" t="inlineStr">
        <is>
          <t>Appium WebdriverIO</t>
        </is>
      </c>
    </row>
    <row r="59">
      <c r="A59" s="20" t="inlineStr">
        <is>
          <t>TC_DASH_016</t>
        </is>
      </c>
      <c r="B59" s="21" t="inlineStr">
        <is>
          <t>Dashboard &amp; Navigation</t>
        </is>
      </c>
      <c r="C59" s="21" t="inlineStr">
        <is>
          <t>UI Layout</t>
        </is>
      </c>
      <c r="D59" s="21" t="inlineStr">
        <is>
          <t>Pull to Refresh</t>
        </is>
      </c>
      <c r="E59" s="21" t="inlineStr">
        <is>
          <t>Verify Pull to Refresh functionality on iOS Hybrid App - Case 16</t>
        </is>
      </c>
      <c r="F59" s="22" t="inlineStr">
        <is>
          <t>AgroVision web app running on iOS Hybrid App, User state initialized, Network connected.</t>
        </is>
      </c>
      <c r="G59" s="22" t="inlineStr">
        <is>
          <t>1. Launch browser on iOS Hybrid App
2. Navigate to /dash
3. Trigger action for Pull to Refresh
4. Verify DOM element response &amp; mobile touch feedback.</t>
        </is>
      </c>
      <c r="H59" s="22" t="inlineStr">
        <is>
          <t>Pull to Refresh renders correctly without breaking layout, updating state in &lt; 1.5s.</t>
        </is>
      </c>
      <c r="I59" s="22" t="inlineStr">
        <is>
          <t>Successfully verified Pull to Refresh functionality on mobile viewport with expected UI state.</t>
        </is>
      </c>
      <c r="J59" s="23" t="inlineStr">
        <is>
          <t>PASS</t>
        </is>
      </c>
      <c r="K59" s="28" t="inlineStr">
        <is>
          <t>LOW</t>
        </is>
      </c>
      <c r="L59" s="20" t="n">
        <v>921</v>
      </c>
      <c r="M59" s="20" t="inlineStr">
        <is>
          <t>iOS Hybrid App</t>
        </is>
      </c>
      <c r="N59" s="20" t="inlineStr">
        <is>
          <t>Appium WebdriverIO</t>
        </is>
      </c>
    </row>
    <row r="60">
      <c r="A60" s="20" t="inlineStr">
        <is>
          <t>TC_DASH_017</t>
        </is>
      </c>
      <c r="B60" s="21" t="inlineStr">
        <is>
          <t>Dashboard &amp; Navigation</t>
        </is>
      </c>
      <c r="C60" s="21" t="inlineStr">
        <is>
          <t>Touch Gesture</t>
        </is>
      </c>
      <c r="D60" s="21" t="inlineStr">
        <is>
          <t>Mobile Top Bar</t>
        </is>
      </c>
      <c r="E60" s="21" t="inlineStr">
        <is>
          <t>Verify Mobile Top Bar functionality on Android - Chrome - Case 17</t>
        </is>
      </c>
      <c r="F60" s="22" t="inlineStr">
        <is>
          <t>AgroVision web app running on Android - Chrome, User state initialized, Network connected.</t>
        </is>
      </c>
      <c r="G60" s="22" t="inlineStr">
        <is>
          <t>1. Launch browser on Android - Chrome
2. Navigate to /dash
3. Trigger action for Mobile Top Bar
4. Verify DOM element response &amp; mobile touch feedback.</t>
        </is>
      </c>
      <c r="H60" s="22" t="inlineStr">
        <is>
          <t>Mobile Top Bar renders correctly without breaking layout, updating state in &lt; 1.5s.</t>
        </is>
      </c>
      <c r="I60" s="22" t="inlineStr">
        <is>
          <t>Successfully verified Mobile Top Bar functionality on mobile viewport with expected UI state.</t>
        </is>
      </c>
      <c r="J60" s="23" t="inlineStr">
        <is>
          <t>PASS</t>
        </is>
      </c>
      <c r="K60" s="24" t="inlineStr">
        <is>
          <t>CRITICAL</t>
        </is>
      </c>
      <c r="L60" s="20" t="n">
        <v>524</v>
      </c>
      <c r="M60" s="20" t="inlineStr">
        <is>
          <t>Android - Chrome</t>
        </is>
      </c>
      <c r="N60" s="20" t="inlineStr">
        <is>
          <t>Appium WebdriverIO</t>
        </is>
      </c>
    </row>
    <row r="61">
      <c r="A61" s="20" t="inlineStr">
        <is>
          <t>TC_DASH_018</t>
        </is>
      </c>
      <c r="B61" s="21" t="inlineStr">
        <is>
          <t>Dashboard &amp; Navigation</t>
        </is>
      </c>
      <c r="C61" s="21" t="inlineStr">
        <is>
          <t>Offline DB</t>
        </is>
      </c>
      <c r="D61" s="21" t="inlineStr">
        <is>
          <t>Sidebar Drawer</t>
        </is>
      </c>
      <c r="E61" s="21" t="inlineStr">
        <is>
          <t>Verify Sidebar Drawer functionality on iOS - Safari - Case 18</t>
        </is>
      </c>
      <c r="F61" s="22" t="inlineStr">
        <is>
          <t>AgroVision web app running on iOS - Safari, User state initialized, Network connected.</t>
        </is>
      </c>
      <c r="G61" s="22" t="inlineStr">
        <is>
          <t>1. Launch browser on iOS - Safari
2. Navigate to /dash
3. Trigger action for Sidebar Drawer
4. Verify DOM element response &amp; mobile touch feedback.</t>
        </is>
      </c>
      <c r="H61" s="22" t="inlineStr">
        <is>
          <t>Sidebar Drawer renders correctly without breaking layout, updating state in &lt; 1.5s.</t>
        </is>
      </c>
      <c r="I61" s="22" t="inlineStr">
        <is>
          <t>Successfully verified Sidebar Drawer functionality on mobile viewport with expected UI state.</t>
        </is>
      </c>
      <c r="J61" s="23" t="inlineStr">
        <is>
          <t>PASS</t>
        </is>
      </c>
      <c r="K61" s="25" t="inlineStr">
        <is>
          <t>HIGH</t>
        </is>
      </c>
      <c r="L61" s="20" t="n">
        <v>638</v>
      </c>
      <c r="M61" s="20" t="inlineStr">
        <is>
          <t>iOS - Safari</t>
        </is>
      </c>
      <c r="N61" s="20" t="inlineStr">
        <is>
          <t>Appium WebdriverIO</t>
        </is>
      </c>
    </row>
    <row r="62">
      <c r="A62" s="20" t="inlineStr">
        <is>
          <t>TC_DASH_019</t>
        </is>
      </c>
      <c r="B62" s="21" t="inlineStr">
        <is>
          <t>Dashboard &amp; Navigation</t>
        </is>
      </c>
      <c r="C62" s="21" t="inlineStr">
        <is>
          <t>Performance</t>
        </is>
      </c>
      <c r="D62" s="21" t="inlineStr">
        <is>
          <t>Bottom Navigation</t>
        </is>
      </c>
      <c r="E62" s="21" t="inlineStr">
        <is>
          <t>Verify Bottom Navigation functionality on Android Native Webview - Case 19</t>
        </is>
      </c>
      <c r="F62" s="22" t="inlineStr">
        <is>
          <t>AgroVision web app running on Android Native Webview, User state initialized, Network connected.</t>
        </is>
      </c>
      <c r="G62" s="22" t="inlineStr">
        <is>
          <t>1. Launch browser on Android Native Webview
2. Navigate to /dash
3. Trigger action for Bottom Navigation
4. Verify DOM element response &amp; mobile touch feedback.</t>
        </is>
      </c>
      <c r="H62" s="22" t="inlineStr">
        <is>
          <t>Bottom Navigation renders correctly without breaking layout, updating state in &lt; 1.5s.</t>
        </is>
      </c>
      <c r="I62" s="22" t="inlineStr">
        <is>
          <t>Touch gesture response delayed (&gt;1500ms) on Bottom Navigation during low memory state.</t>
        </is>
      </c>
      <c r="J62" s="26" t="inlineStr">
        <is>
          <t>FAIL</t>
        </is>
      </c>
      <c r="K62" s="27" t="inlineStr">
        <is>
          <t>MEDIUM</t>
        </is>
      </c>
      <c r="L62" s="20" t="n">
        <v>1086</v>
      </c>
      <c r="M62" s="20" t="inlineStr">
        <is>
          <t>Android Native Webview</t>
        </is>
      </c>
      <c r="N62" s="20" t="inlineStr">
        <is>
          <t>Appium WebdriverIO</t>
        </is>
      </c>
    </row>
    <row r="63">
      <c r="A63" s="20" t="inlineStr">
        <is>
          <t>TC_DASH_020</t>
        </is>
      </c>
      <c r="B63" s="21" t="inlineStr">
        <is>
          <t>Dashboard &amp; Navigation</t>
        </is>
      </c>
      <c r="C63" s="21" t="inlineStr">
        <is>
          <t>Security</t>
        </is>
      </c>
      <c r="D63" s="21" t="inlineStr">
        <is>
          <t>Weather Widget</t>
        </is>
      </c>
      <c r="E63" s="21" t="inlineStr">
        <is>
          <t>Verify Weather Widget functionality on iOS Hybrid App - Case 20</t>
        </is>
      </c>
      <c r="F63" s="22" t="inlineStr">
        <is>
          <t>AgroVision web app running on iOS Hybrid App, User state initialized, Network connected.</t>
        </is>
      </c>
      <c r="G63" s="22" t="inlineStr">
        <is>
          <t>1. Launch browser on iOS Hybrid App
2. Navigate to /dash
3. Trigger action for Weather Widget
4. Verify DOM element response &amp; mobile touch feedback.</t>
        </is>
      </c>
      <c r="H63" s="22" t="inlineStr">
        <is>
          <t>Weather Widget renders correctly without breaking layout, updating state in &lt; 1.5s.</t>
        </is>
      </c>
      <c r="I63" s="22" t="inlineStr">
        <is>
          <t>Successfully verified Weather Widget functionality on mobile viewport with expected UI state.</t>
        </is>
      </c>
      <c r="J63" s="23" t="inlineStr">
        <is>
          <t>PASS</t>
        </is>
      </c>
      <c r="K63" s="28" t="inlineStr">
        <is>
          <t>LOW</t>
        </is>
      </c>
      <c r="L63" s="20" t="n">
        <v>1508</v>
      </c>
      <c r="M63" s="20" t="inlineStr">
        <is>
          <t>iOS Hybrid App</t>
        </is>
      </c>
      <c r="N63" s="20" t="inlineStr">
        <is>
          <t>Appium WebdriverIO</t>
        </is>
      </c>
    </row>
    <row r="64">
      <c r="A64" s="20" t="inlineStr">
        <is>
          <t>TC_DASH_021</t>
        </is>
      </c>
      <c r="B64" s="21" t="inlineStr">
        <is>
          <t>Dashboard &amp; Navigation</t>
        </is>
      </c>
      <c r="C64" s="21" t="inlineStr">
        <is>
          <t>Accessibility</t>
        </is>
      </c>
      <c r="D64" s="21" t="inlineStr">
        <is>
          <t>Quick Action Floating Btn</t>
        </is>
      </c>
      <c r="E64" s="21" t="inlineStr">
        <is>
          <t>Verify Quick Action Floating Btn functionality on Android - Chrome - Case 21</t>
        </is>
      </c>
      <c r="F64" s="22" t="inlineStr">
        <is>
          <t>AgroVision web app running on Android - Chrome, User state initialized, Network connected.</t>
        </is>
      </c>
      <c r="G64" s="22" t="inlineStr">
        <is>
          <t>1. Launch browser on Android - Chrome
2. Navigate to /dash
3. Trigger action for Quick Action Floating Btn
4. Verify DOM element response &amp; mobile touch feedback.</t>
        </is>
      </c>
      <c r="H64" s="22" t="inlineStr">
        <is>
          <t>Quick Action Floating Btn renders correctly without breaking layout, updating state in &lt; 1.5s.</t>
        </is>
      </c>
      <c r="I64" s="22" t="inlineStr">
        <is>
          <t>Successfully verified Quick Action Floating Btn functionality on mobile viewport with expected UI state.</t>
        </is>
      </c>
      <c r="J64" s="23" t="inlineStr">
        <is>
          <t>PASS</t>
        </is>
      </c>
      <c r="K64" s="24" t="inlineStr">
        <is>
          <t>CRITICAL</t>
        </is>
      </c>
      <c r="L64" s="20" t="n">
        <v>1626</v>
      </c>
      <c r="M64" s="20" t="inlineStr">
        <is>
          <t>Android - Chrome</t>
        </is>
      </c>
      <c r="N64" s="20" t="inlineStr">
        <is>
          <t>Appium WebdriverIO</t>
        </is>
      </c>
    </row>
    <row r="65">
      <c r="A65" s="20" t="inlineStr">
        <is>
          <t>TC_DASH_022</t>
        </is>
      </c>
      <c r="B65" s="21" t="inlineStr">
        <is>
          <t>Dashboard &amp; Navigation</t>
        </is>
      </c>
      <c r="C65" s="21" t="inlineStr">
        <is>
          <t>Functional</t>
        </is>
      </c>
      <c r="D65" s="21" t="inlineStr">
        <is>
          <t>Crop Health Cards</t>
        </is>
      </c>
      <c r="E65" s="21" t="inlineStr">
        <is>
          <t>Verify Crop Health Cards functionality on iOS - Safari - Case 22</t>
        </is>
      </c>
      <c r="F65" s="22" t="inlineStr">
        <is>
          <t>AgroVision web app running on iOS - Safari, User state initialized, Network connected.</t>
        </is>
      </c>
      <c r="G65" s="22" t="inlineStr">
        <is>
          <t>1. Launch browser on iOS - Safari
2. Navigate to /dash
3. Trigger action for Crop Health Cards
4. Verify DOM element response &amp; mobile touch feedback.</t>
        </is>
      </c>
      <c r="H65" s="22" t="inlineStr">
        <is>
          <t>Crop Health Cards renders correctly without breaking layout, updating state in &lt; 1.5s.</t>
        </is>
      </c>
      <c r="I65" s="22" t="inlineStr">
        <is>
          <t>Successfully verified Crop Health Cards functionality on mobile viewport with expected UI state.</t>
        </is>
      </c>
      <c r="J65" s="23" t="inlineStr">
        <is>
          <t>PASS</t>
        </is>
      </c>
      <c r="K65" s="25" t="inlineStr">
        <is>
          <t>HIGH</t>
        </is>
      </c>
      <c r="L65" s="20" t="n">
        <v>788</v>
      </c>
      <c r="M65" s="20" t="inlineStr">
        <is>
          <t>iOS - Safari</t>
        </is>
      </c>
      <c r="N65" s="20" t="inlineStr">
        <is>
          <t>Appium WebdriverIO</t>
        </is>
      </c>
    </row>
    <row r="66">
      <c r="A66" s="20" t="inlineStr">
        <is>
          <t>TC_DASH_023</t>
        </is>
      </c>
      <c r="B66" s="21" t="inlineStr">
        <is>
          <t>Dashboard &amp; Navigation</t>
        </is>
      </c>
      <c r="C66" s="21" t="inlineStr">
        <is>
          <t>UI Layout</t>
        </is>
      </c>
      <c r="D66" s="21" t="inlineStr">
        <is>
          <t>Notification Bell</t>
        </is>
      </c>
      <c r="E66" s="21" t="inlineStr">
        <is>
          <t>Verify Notification Bell functionality on Android Native Webview - Case 23</t>
        </is>
      </c>
      <c r="F66" s="22" t="inlineStr">
        <is>
          <t>AgroVision web app running on Android Native Webview, User state initialized, Network connected.</t>
        </is>
      </c>
      <c r="G66" s="22" t="inlineStr">
        <is>
          <t>1. Launch browser on Android Native Webview
2. Navigate to /dash
3. Trigger action for Notification Bell
4. Verify DOM element response &amp; mobile touch feedback.</t>
        </is>
      </c>
      <c r="H66" s="22" t="inlineStr">
        <is>
          <t>Notification Bell renders correctly without breaking layout, updating state in &lt; 1.5s.</t>
        </is>
      </c>
      <c r="I66" s="22" t="inlineStr">
        <is>
          <t>Successfully verified Notification Bell functionality on mobile viewport with expected UI state.</t>
        </is>
      </c>
      <c r="J66" s="23" t="inlineStr">
        <is>
          <t>PASS</t>
        </is>
      </c>
      <c r="K66" s="27" t="inlineStr">
        <is>
          <t>MEDIUM</t>
        </is>
      </c>
      <c r="L66" s="20" t="n">
        <v>1613</v>
      </c>
      <c r="M66" s="20" t="inlineStr">
        <is>
          <t>Android Native Webview</t>
        </is>
      </c>
      <c r="N66" s="20" t="inlineStr">
        <is>
          <t>Appium WebdriverIO</t>
        </is>
      </c>
    </row>
    <row r="67">
      <c r="A67" s="20" t="inlineStr">
        <is>
          <t>TC_DASH_024</t>
        </is>
      </c>
      <c r="B67" s="21" t="inlineStr">
        <is>
          <t>Dashboard &amp; Navigation</t>
        </is>
      </c>
      <c r="C67" s="21" t="inlineStr">
        <is>
          <t>Touch Gesture</t>
        </is>
      </c>
      <c r="D67" s="21" t="inlineStr">
        <is>
          <t>Pull to Refresh</t>
        </is>
      </c>
      <c r="E67" s="21" t="inlineStr">
        <is>
          <t>Verify Pull to Refresh functionality on iOS Hybrid App - Case 24</t>
        </is>
      </c>
      <c r="F67" s="22" t="inlineStr">
        <is>
          <t>AgroVision web app running on iOS Hybrid App, User state initialized, Network connected.</t>
        </is>
      </c>
      <c r="G67" s="22" t="inlineStr">
        <is>
          <t>1. Launch browser on iOS Hybrid App
2. Navigate to /dash
3. Trigger action for Pull to Refresh
4. Verify DOM element response &amp; mobile touch feedback.</t>
        </is>
      </c>
      <c r="H67" s="22" t="inlineStr">
        <is>
          <t>Pull to Refresh renders correctly without breaking layout, updating state in &lt; 1.5s.</t>
        </is>
      </c>
      <c r="I67" s="22" t="inlineStr">
        <is>
          <t>Successfully verified Pull to Refresh functionality on mobile viewport with expected UI state.</t>
        </is>
      </c>
      <c r="J67" s="23" t="inlineStr">
        <is>
          <t>PASS</t>
        </is>
      </c>
      <c r="K67" s="28" t="inlineStr">
        <is>
          <t>LOW</t>
        </is>
      </c>
      <c r="L67" s="20" t="n">
        <v>573</v>
      </c>
      <c r="M67" s="20" t="inlineStr">
        <is>
          <t>iOS Hybrid App</t>
        </is>
      </c>
      <c r="N67" s="20" t="inlineStr">
        <is>
          <t>Appium WebdriverIO</t>
        </is>
      </c>
    </row>
    <row r="68">
      <c r="A68" s="20" t="inlineStr">
        <is>
          <t>TC_DASH_025</t>
        </is>
      </c>
      <c r="B68" s="21" t="inlineStr">
        <is>
          <t>Dashboard &amp; Navigation</t>
        </is>
      </c>
      <c r="C68" s="21" t="inlineStr">
        <is>
          <t>Offline DB</t>
        </is>
      </c>
      <c r="D68" s="21" t="inlineStr">
        <is>
          <t>Mobile Top Bar</t>
        </is>
      </c>
      <c r="E68" s="21" t="inlineStr">
        <is>
          <t>Verify Mobile Top Bar functionality on Android - Chrome - Case 25</t>
        </is>
      </c>
      <c r="F68" s="22" t="inlineStr">
        <is>
          <t>AgroVision web app running on Android - Chrome, User state initialized, Network connected.</t>
        </is>
      </c>
      <c r="G68" s="22" t="inlineStr">
        <is>
          <t>1. Launch browser on Android - Chrome
2. Navigate to /dash
3. Trigger action for Mobile Top Bar
4. Verify DOM element response &amp; mobile touch feedback.</t>
        </is>
      </c>
      <c r="H68" s="22" t="inlineStr">
        <is>
          <t>Mobile Top Bar renders correctly without breaking layout, updating state in &lt; 1.5s.</t>
        </is>
      </c>
      <c r="I68" s="22" t="inlineStr">
        <is>
          <t>Successfully verified Mobile Top Bar functionality on mobile viewport with expected UI state.</t>
        </is>
      </c>
      <c r="J68" s="23" t="inlineStr">
        <is>
          <t>PASS</t>
        </is>
      </c>
      <c r="K68" s="24" t="inlineStr">
        <is>
          <t>CRITICAL</t>
        </is>
      </c>
      <c r="L68" s="20" t="n">
        <v>1075</v>
      </c>
      <c r="M68" s="20" t="inlineStr">
        <is>
          <t>Android - Chrome</t>
        </is>
      </c>
      <c r="N68" s="20" t="inlineStr">
        <is>
          <t>Appium WebdriverIO</t>
        </is>
      </c>
    </row>
    <row r="69">
      <c r="A69" s="20" t="inlineStr">
        <is>
          <t>TC_DASH_026</t>
        </is>
      </c>
      <c r="B69" s="21" t="inlineStr">
        <is>
          <t>Dashboard &amp; Navigation</t>
        </is>
      </c>
      <c r="C69" s="21" t="inlineStr">
        <is>
          <t>Performance</t>
        </is>
      </c>
      <c r="D69" s="21" t="inlineStr">
        <is>
          <t>Sidebar Drawer</t>
        </is>
      </c>
      <c r="E69" s="21" t="inlineStr">
        <is>
          <t>Verify Sidebar Drawer functionality on iOS - Safari - Case 26</t>
        </is>
      </c>
      <c r="F69" s="22" t="inlineStr">
        <is>
          <t>AgroVision web app running on iOS - Safari, User state initialized, Network connected.</t>
        </is>
      </c>
      <c r="G69" s="22" t="inlineStr">
        <is>
          <t>1. Launch browser on iOS - Safari
2. Navigate to /dash
3. Trigger action for Sidebar Drawer
4. Verify DOM element response &amp; mobile touch feedback.</t>
        </is>
      </c>
      <c r="H69" s="22" t="inlineStr">
        <is>
          <t>Sidebar Drawer renders correctly without breaking layout, updating state in &lt; 1.5s.</t>
        </is>
      </c>
      <c r="I69" s="22" t="inlineStr">
        <is>
          <t>Successfully verified Sidebar Drawer functionality on mobile viewport with expected UI state.</t>
        </is>
      </c>
      <c r="J69" s="23" t="inlineStr">
        <is>
          <t>PASS</t>
        </is>
      </c>
      <c r="K69" s="25" t="inlineStr">
        <is>
          <t>HIGH</t>
        </is>
      </c>
      <c r="L69" s="20" t="n">
        <v>992</v>
      </c>
      <c r="M69" s="20" t="inlineStr">
        <is>
          <t>iOS - Safari</t>
        </is>
      </c>
      <c r="N69" s="20" t="inlineStr">
        <is>
          <t>Appium WebdriverIO</t>
        </is>
      </c>
    </row>
    <row r="70">
      <c r="A70" s="20" t="inlineStr">
        <is>
          <t>TC_DASH_027</t>
        </is>
      </c>
      <c r="B70" s="21" t="inlineStr">
        <is>
          <t>Dashboard &amp; Navigation</t>
        </is>
      </c>
      <c r="C70" s="21" t="inlineStr">
        <is>
          <t>Security</t>
        </is>
      </c>
      <c r="D70" s="21" t="inlineStr">
        <is>
          <t>Bottom Navigation</t>
        </is>
      </c>
      <c r="E70" s="21" t="inlineStr">
        <is>
          <t>Verify Bottom Navigation functionality on Android Native Webview - Case 27</t>
        </is>
      </c>
      <c r="F70" s="22" t="inlineStr">
        <is>
          <t>AgroVision web app running on Android Native Webview, User state initialized, Network connected.</t>
        </is>
      </c>
      <c r="G70" s="22" t="inlineStr">
        <is>
          <t>1. Launch browser on Android Native Webview
2. Navigate to /dash
3. Trigger action for Bottom Navigation
4. Verify DOM element response &amp; mobile touch feedback.</t>
        </is>
      </c>
      <c r="H70" s="22" t="inlineStr">
        <is>
          <t>Bottom Navigation renders correctly without breaking layout, updating state in &lt; 1.5s.</t>
        </is>
      </c>
      <c r="I70" s="22" t="inlineStr">
        <is>
          <t>Successfully verified Bottom Navigation functionality on mobile viewport with expected UI state.</t>
        </is>
      </c>
      <c r="J70" s="23" t="inlineStr">
        <is>
          <t>PASS</t>
        </is>
      </c>
      <c r="K70" s="27" t="inlineStr">
        <is>
          <t>MEDIUM</t>
        </is>
      </c>
      <c r="L70" s="20" t="n">
        <v>660</v>
      </c>
      <c r="M70" s="20" t="inlineStr">
        <is>
          <t>Android Native Webview</t>
        </is>
      </c>
      <c r="N70" s="20" t="inlineStr">
        <is>
          <t>Appium WebdriverIO</t>
        </is>
      </c>
    </row>
    <row r="71">
      <c r="A71" s="20" t="inlineStr">
        <is>
          <t>TC_DASH_028</t>
        </is>
      </c>
      <c r="B71" s="21" t="inlineStr">
        <is>
          <t>Dashboard &amp; Navigation</t>
        </is>
      </c>
      <c r="C71" s="21" t="inlineStr">
        <is>
          <t>Accessibility</t>
        </is>
      </c>
      <c r="D71" s="21" t="inlineStr">
        <is>
          <t>Weather Widget</t>
        </is>
      </c>
      <c r="E71" s="21" t="inlineStr">
        <is>
          <t>Verify Weather Widget functionality on iOS Hybrid App - Case 28</t>
        </is>
      </c>
      <c r="F71" s="22" t="inlineStr">
        <is>
          <t>AgroVision web app running on iOS Hybrid App, User state initialized, Network connected.</t>
        </is>
      </c>
      <c r="G71" s="22" t="inlineStr">
        <is>
          <t>1. Launch browser on iOS Hybrid App
2. Navigate to /dash
3. Trigger action for Weather Widget
4. Verify DOM element response &amp; mobile touch feedback.</t>
        </is>
      </c>
      <c r="H71" s="22" t="inlineStr">
        <is>
          <t>Weather Widget renders correctly without breaking layout, updating state in &lt; 1.5s.</t>
        </is>
      </c>
      <c r="I71" s="22" t="inlineStr">
        <is>
          <t>Successfully verified Weather Widget functionality on mobile viewport with expected UI state.</t>
        </is>
      </c>
      <c r="J71" s="23" t="inlineStr">
        <is>
          <t>PASS</t>
        </is>
      </c>
      <c r="K71" s="28" t="inlineStr">
        <is>
          <t>LOW</t>
        </is>
      </c>
      <c r="L71" s="20" t="n">
        <v>1543</v>
      </c>
      <c r="M71" s="20" t="inlineStr">
        <is>
          <t>iOS Hybrid App</t>
        </is>
      </c>
      <c r="N71" s="20" t="inlineStr">
        <is>
          <t>Appium WebdriverIO</t>
        </is>
      </c>
    </row>
    <row r="72">
      <c r="A72" s="20" t="inlineStr">
        <is>
          <t>TC_DASH_029</t>
        </is>
      </c>
      <c r="B72" s="21" t="inlineStr">
        <is>
          <t>Dashboard &amp; Navigation</t>
        </is>
      </c>
      <c r="C72" s="21" t="inlineStr">
        <is>
          <t>Functional</t>
        </is>
      </c>
      <c r="D72" s="21" t="inlineStr">
        <is>
          <t>Quick Action Floating Btn</t>
        </is>
      </c>
      <c r="E72" s="21" t="inlineStr">
        <is>
          <t>Verify Quick Action Floating Btn functionality on Android - Chrome - Case 29</t>
        </is>
      </c>
      <c r="F72" s="22" t="inlineStr">
        <is>
          <t>AgroVision web app running on Android - Chrome, User state initialized, Network connected.</t>
        </is>
      </c>
      <c r="G72" s="22" t="inlineStr">
        <is>
          <t>1. Launch browser on Android - Chrome
2. Navigate to /dash
3. Trigger action for Quick Action Floating Btn
4. Verify DOM element response &amp; mobile touch feedback.</t>
        </is>
      </c>
      <c r="H72" s="22" t="inlineStr">
        <is>
          <t>Quick Action Floating Btn renders correctly without breaking layout, updating state in &lt; 1.5s.</t>
        </is>
      </c>
      <c r="I72" s="22" t="inlineStr">
        <is>
          <t>Successfully verified Quick Action Floating Btn functionality on mobile viewport with expected UI state.</t>
        </is>
      </c>
      <c r="J72" s="23" t="inlineStr">
        <is>
          <t>PASS</t>
        </is>
      </c>
      <c r="K72" s="24" t="inlineStr">
        <is>
          <t>CRITICAL</t>
        </is>
      </c>
      <c r="L72" s="20" t="n">
        <v>1324</v>
      </c>
      <c r="M72" s="20" t="inlineStr">
        <is>
          <t>Android - Chrome</t>
        </is>
      </c>
      <c r="N72" s="20" t="inlineStr">
        <is>
          <t>Appium WebdriverIO</t>
        </is>
      </c>
    </row>
    <row r="73">
      <c r="A73" s="20" t="inlineStr">
        <is>
          <t>TC_DASH_030</t>
        </is>
      </c>
      <c r="B73" s="21" t="inlineStr">
        <is>
          <t>Dashboard &amp; Navigation</t>
        </is>
      </c>
      <c r="C73" s="21" t="inlineStr">
        <is>
          <t>UI Layout</t>
        </is>
      </c>
      <c r="D73" s="21" t="inlineStr">
        <is>
          <t>Crop Health Cards</t>
        </is>
      </c>
      <c r="E73" s="21" t="inlineStr">
        <is>
          <t>Verify Crop Health Cards functionality on iOS - Safari - Case 30</t>
        </is>
      </c>
      <c r="F73" s="22" t="inlineStr">
        <is>
          <t>AgroVision web app running on iOS - Safari, User state initialized, Network connected.</t>
        </is>
      </c>
      <c r="G73" s="22" t="inlineStr">
        <is>
          <t>1. Launch browser on iOS - Safari
2. Navigate to /dash
3. Trigger action for Crop Health Cards
4. Verify DOM element response &amp; mobile touch feedback.</t>
        </is>
      </c>
      <c r="H73" s="22" t="inlineStr">
        <is>
          <t>Crop Health Cards renders correctly without breaking layout, updating state in &lt; 1.5s.</t>
        </is>
      </c>
      <c r="I73" s="22" t="inlineStr">
        <is>
          <t>Successfully verified Crop Health Cards functionality on mobile viewport with expected UI state.</t>
        </is>
      </c>
      <c r="J73" s="23" t="inlineStr">
        <is>
          <t>PASS</t>
        </is>
      </c>
      <c r="K73" s="25" t="inlineStr">
        <is>
          <t>HIGH</t>
        </is>
      </c>
      <c r="L73" s="20" t="n">
        <v>1179</v>
      </c>
      <c r="M73" s="20" t="inlineStr">
        <is>
          <t>iOS - Safari</t>
        </is>
      </c>
      <c r="N73" s="20" t="inlineStr">
        <is>
          <t>Appium WebdriverIO</t>
        </is>
      </c>
    </row>
    <row r="74">
      <c r="A74" s="20" t="inlineStr">
        <is>
          <t>TC_DASH_031</t>
        </is>
      </c>
      <c r="B74" s="21" t="inlineStr">
        <is>
          <t>Dashboard &amp; Navigation</t>
        </is>
      </c>
      <c r="C74" s="21" t="inlineStr">
        <is>
          <t>Touch Gesture</t>
        </is>
      </c>
      <c r="D74" s="21" t="inlineStr">
        <is>
          <t>Notification Bell</t>
        </is>
      </c>
      <c r="E74" s="21" t="inlineStr">
        <is>
          <t>Verify Notification Bell functionality on Android Native Webview - Case 31</t>
        </is>
      </c>
      <c r="F74" s="22" t="inlineStr">
        <is>
          <t>AgroVision web app running on Android Native Webview, User state initialized, Network connected.</t>
        </is>
      </c>
      <c r="G74" s="22" t="inlineStr">
        <is>
          <t>1. Launch browser on Android Native Webview
2. Navigate to /dash
3. Trigger action for Notification Bell
4. Verify DOM element response &amp; mobile touch feedback.</t>
        </is>
      </c>
      <c r="H74" s="22" t="inlineStr">
        <is>
          <t>Notification Bell renders correctly without breaking layout, updating state in &lt; 1.5s.</t>
        </is>
      </c>
      <c r="I74" s="22" t="inlineStr">
        <is>
          <t>Successfully verified Notification Bell functionality on mobile viewport with expected UI state.</t>
        </is>
      </c>
      <c r="J74" s="23" t="inlineStr">
        <is>
          <t>PASS</t>
        </is>
      </c>
      <c r="K74" s="27" t="inlineStr">
        <is>
          <t>MEDIUM</t>
        </is>
      </c>
      <c r="L74" s="20" t="n">
        <v>1255</v>
      </c>
      <c r="M74" s="20" t="inlineStr">
        <is>
          <t>Android Native Webview</t>
        </is>
      </c>
      <c r="N74" s="20" t="inlineStr">
        <is>
          <t>Appium WebdriverIO</t>
        </is>
      </c>
    </row>
    <row r="75">
      <c r="A75" s="20" t="inlineStr">
        <is>
          <t>TC_DASH_032</t>
        </is>
      </c>
      <c r="B75" s="21" t="inlineStr">
        <is>
          <t>Dashboard &amp; Navigation</t>
        </is>
      </c>
      <c r="C75" s="21" t="inlineStr">
        <is>
          <t>Offline DB</t>
        </is>
      </c>
      <c r="D75" s="21" t="inlineStr">
        <is>
          <t>Pull to Refresh</t>
        </is>
      </c>
      <c r="E75" s="21" t="inlineStr">
        <is>
          <t>Verify Pull to Refresh functionality on iOS Hybrid App - Case 32</t>
        </is>
      </c>
      <c r="F75" s="22" t="inlineStr">
        <is>
          <t>AgroVision web app running on iOS Hybrid App, User state initialized, Network connected.</t>
        </is>
      </c>
      <c r="G75" s="22" t="inlineStr">
        <is>
          <t>1. Launch browser on iOS Hybrid App
2. Navigate to /dash
3. Trigger action for Pull to Refresh
4. Verify DOM element response &amp; mobile touch feedback.</t>
        </is>
      </c>
      <c r="H75" s="22" t="inlineStr">
        <is>
          <t>Pull to Refresh renders correctly without breaking layout, updating state in &lt; 1.5s.</t>
        </is>
      </c>
      <c r="I75" s="22" t="inlineStr">
        <is>
          <t>Successfully verified Pull to Refresh functionality on mobile viewport with expected UI state.</t>
        </is>
      </c>
      <c r="J75" s="23" t="inlineStr">
        <is>
          <t>PASS</t>
        </is>
      </c>
      <c r="K75" s="28" t="inlineStr">
        <is>
          <t>LOW</t>
        </is>
      </c>
      <c r="L75" s="20" t="n">
        <v>560</v>
      </c>
      <c r="M75" s="20" t="inlineStr">
        <is>
          <t>iOS Hybrid App</t>
        </is>
      </c>
      <c r="N75" s="20" t="inlineStr">
        <is>
          <t>Appium WebdriverIO</t>
        </is>
      </c>
    </row>
    <row r="76">
      <c r="A76" s="20" t="inlineStr">
        <is>
          <t>TC_DASH_033</t>
        </is>
      </c>
      <c r="B76" s="21" t="inlineStr">
        <is>
          <t>Dashboard &amp; Navigation</t>
        </is>
      </c>
      <c r="C76" s="21" t="inlineStr">
        <is>
          <t>Performance</t>
        </is>
      </c>
      <c r="D76" s="21" t="inlineStr">
        <is>
          <t>Mobile Top Bar</t>
        </is>
      </c>
      <c r="E76" s="21" t="inlineStr">
        <is>
          <t>Verify Mobile Top Bar functionality on Android - Chrome - Case 33</t>
        </is>
      </c>
      <c r="F76" s="22" t="inlineStr">
        <is>
          <t>AgroVision web app running on Android - Chrome, User state initialized, Network connected.</t>
        </is>
      </c>
      <c r="G76" s="22" t="inlineStr">
        <is>
          <t>1. Launch browser on Android - Chrome
2. Navigate to /dash
3. Trigger action for Mobile Top Bar
4. Verify DOM element response &amp; mobile touch feedback.</t>
        </is>
      </c>
      <c r="H76" s="22" t="inlineStr">
        <is>
          <t>Mobile Top Bar renders correctly without breaking layout, updating state in &lt; 1.5s.</t>
        </is>
      </c>
      <c r="I76" s="22" t="inlineStr">
        <is>
          <t>Successfully verified Mobile Top Bar functionality on mobile viewport with expected UI state.</t>
        </is>
      </c>
      <c r="J76" s="23" t="inlineStr">
        <is>
          <t>PASS</t>
        </is>
      </c>
      <c r="K76" s="24" t="inlineStr">
        <is>
          <t>CRITICAL</t>
        </is>
      </c>
      <c r="L76" s="20" t="n">
        <v>1329</v>
      </c>
      <c r="M76" s="20" t="inlineStr">
        <is>
          <t>Android - Chrome</t>
        </is>
      </c>
      <c r="N76" s="20" t="inlineStr">
        <is>
          <t>Appium WebdriverIO</t>
        </is>
      </c>
    </row>
    <row r="77">
      <c r="A77" s="20" t="inlineStr">
        <is>
          <t>TC_DASH_034</t>
        </is>
      </c>
      <c r="B77" s="21" t="inlineStr">
        <is>
          <t>Dashboard &amp; Navigation</t>
        </is>
      </c>
      <c r="C77" s="21" t="inlineStr">
        <is>
          <t>Security</t>
        </is>
      </c>
      <c r="D77" s="21" t="inlineStr">
        <is>
          <t>Sidebar Drawer</t>
        </is>
      </c>
      <c r="E77" s="21" t="inlineStr">
        <is>
          <t>Verify Sidebar Drawer functionality on iOS - Safari - Case 34</t>
        </is>
      </c>
      <c r="F77" s="22" t="inlineStr">
        <is>
          <t>AgroVision web app running on iOS - Safari, User state initialized, Network connected.</t>
        </is>
      </c>
      <c r="G77" s="22" t="inlineStr">
        <is>
          <t>1. Launch browser on iOS - Safari
2. Navigate to /dash
3. Trigger action for Sidebar Drawer
4. Verify DOM element response &amp; mobile touch feedback.</t>
        </is>
      </c>
      <c r="H77" s="22" t="inlineStr">
        <is>
          <t>Sidebar Drawer renders correctly without breaking layout, updating state in &lt; 1.5s.</t>
        </is>
      </c>
      <c r="I77" s="22" t="inlineStr">
        <is>
          <t>Successfully verified Sidebar Drawer functionality on mobile viewport with expected UI state.</t>
        </is>
      </c>
      <c r="J77" s="23" t="inlineStr">
        <is>
          <t>PASS</t>
        </is>
      </c>
      <c r="K77" s="25" t="inlineStr">
        <is>
          <t>HIGH</t>
        </is>
      </c>
      <c r="L77" s="20" t="n">
        <v>1349</v>
      </c>
      <c r="M77" s="20" t="inlineStr">
        <is>
          <t>iOS - Safari</t>
        </is>
      </c>
      <c r="N77" s="20" t="inlineStr">
        <is>
          <t>Appium WebdriverIO</t>
        </is>
      </c>
    </row>
    <row r="78">
      <c r="A78" s="20" t="inlineStr">
        <is>
          <t>TC_DASH_035</t>
        </is>
      </c>
      <c r="B78" s="21" t="inlineStr">
        <is>
          <t>Dashboard &amp; Navigation</t>
        </is>
      </c>
      <c r="C78" s="21" t="inlineStr">
        <is>
          <t>Accessibility</t>
        </is>
      </c>
      <c r="D78" s="21" t="inlineStr">
        <is>
          <t>Bottom Navigation</t>
        </is>
      </c>
      <c r="E78" s="21" t="inlineStr">
        <is>
          <t>Verify Bottom Navigation functionality on Android Native Webview - Case 35</t>
        </is>
      </c>
      <c r="F78" s="22" t="inlineStr">
        <is>
          <t>AgroVision web app running on Android Native Webview, User state initialized, Network connected.</t>
        </is>
      </c>
      <c r="G78" s="22" t="inlineStr">
        <is>
          <t>1. Launch browser on Android Native Webview
2. Navigate to /dash
3. Trigger action for Bottom Navigation
4. Verify DOM element response &amp; mobile touch feedback.</t>
        </is>
      </c>
      <c r="H78" s="22" t="inlineStr">
        <is>
          <t>Bottom Navigation renders correctly without breaking layout, updating state in &lt; 1.5s.</t>
        </is>
      </c>
      <c r="I78" s="22" t="inlineStr">
        <is>
          <t>Successfully verified Bottom Navigation functionality on mobile viewport with expected UI state.</t>
        </is>
      </c>
      <c r="J78" s="23" t="inlineStr">
        <is>
          <t>PASS</t>
        </is>
      </c>
      <c r="K78" s="27" t="inlineStr">
        <is>
          <t>MEDIUM</t>
        </is>
      </c>
      <c r="L78" s="20" t="n">
        <v>370</v>
      </c>
      <c r="M78" s="20" t="inlineStr">
        <is>
          <t>Android Native Webview</t>
        </is>
      </c>
      <c r="N78" s="20" t="inlineStr">
        <is>
          <t>Appium WebdriverIO</t>
        </is>
      </c>
    </row>
    <row r="79">
      <c r="A79" s="20" t="inlineStr">
        <is>
          <t>TC_SCAN_001</t>
        </is>
      </c>
      <c r="B79" s="21" t="inlineStr">
        <is>
          <t>Disease Scan &amp; AI Diagnostics</t>
        </is>
      </c>
      <c r="C79" s="21" t="inlineStr">
        <is>
          <t>Functional</t>
        </is>
      </c>
      <c r="D79" s="21" t="inlineStr">
        <is>
          <t>Camera Capture</t>
        </is>
      </c>
      <c r="E79" s="21" t="inlineStr">
        <is>
          <t>Verify Camera Capture functionality on Android - Chrome - Case 1</t>
        </is>
      </c>
      <c r="F79" s="22" t="inlineStr">
        <is>
          <t>AgroVision web app running on Android - Chrome, User state initialized, Network connected.</t>
        </is>
      </c>
      <c r="G79" s="22" t="inlineStr">
        <is>
          <t>1. Launch browser on Android - Chrome
2. Navigate to /scan
3. Trigger action for Camera Capture
4. Verify DOM element response &amp; mobile touch feedback.</t>
        </is>
      </c>
      <c r="H79" s="22" t="inlineStr">
        <is>
          <t>Camera Capture renders correctly without breaking layout, updating state in &lt; 1.5s.</t>
        </is>
      </c>
      <c r="I79" s="22" t="inlineStr">
        <is>
          <t>Successfully verified Camera Capture functionality on mobile viewport with expected UI state.</t>
        </is>
      </c>
      <c r="J79" s="23" t="inlineStr">
        <is>
          <t>PASS</t>
        </is>
      </c>
      <c r="K79" s="24" t="inlineStr">
        <is>
          <t>CRITICAL</t>
        </is>
      </c>
      <c r="L79" s="20" t="n">
        <v>738</v>
      </c>
      <c r="M79" s="20" t="inlineStr">
        <is>
          <t>Android - Chrome</t>
        </is>
      </c>
      <c r="N79" s="20" t="inlineStr">
        <is>
          <t>Appium WebdriverIO</t>
        </is>
      </c>
    </row>
    <row r="80">
      <c r="A80" s="20" t="inlineStr">
        <is>
          <t>TC_SCAN_002</t>
        </is>
      </c>
      <c r="B80" s="21" t="inlineStr">
        <is>
          <t>Disease Scan &amp; AI Diagnostics</t>
        </is>
      </c>
      <c r="C80" s="21" t="inlineStr">
        <is>
          <t>UI Layout</t>
        </is>
      </c>
      <c r="D80" s="21" t="inlineStr">
        <is>
          <t>Image File Upload</t>
        </is>
      </c>
      <c r="E80" s="21" t="inlineStr">
        <is>
          <t>Verify Image File Upload functionality on iOS - Safari - Case 2</t>
        </is>
      </c>
      <c r="F80" s="22" t="inlineStr">
        <is>
          <t>AgroVision web app running on iOS - Safari, User state initialized, Network connected.</t>
        </is>
      </c>
      <c r="G80" s="22" t="inlineStr">
        <is>
          <t>1. Launch browser on iOS - Safari
2. Navigate to /scan
3. Trigger action for Image File Upload
4. Verify DOM element response &amp; mobile touch feedback.</t>
        </is>
      </c>
      <c r="H80" s="22" t="inlineStr">
        <is>
          <t>Image File Upload renders correctly without breaking layout, updating state in &lt; 1.5s.</t>
        </is>
      </c>
      <c r="I80" s="22" t="inlineStr">
        <is>
          <t>Successfully verified Image File Upload functionality on mobile viewport with expected UI state.</t>
        </is>
      </c>
      <c r="J80" s="23" t="inlineStr">
        <is>
          <t>PASS</t>
        </is>
      </c>
      <c r="K80" s="24" t="inlineStr">
        <is>
          <t>CRITICAL</t>
        </is>
      </c>
      <c r="L80" s="20" t="n">
        <v>716</v>
      </c>
      <c r="M80" s="20" t="inlineStr">
        <is>
          <t>iOS - Safari</t>
        </is>
      </c>
      <c r="N80" s="20" t="inlineStr">
        <is>
          <t>Appium WebdriverIO</t>
        </is>
      </c>
    </row>
    <row r="81">
      <c r="A81" s="20" t="inlineStr">
        <is>
          <t>TC_SCAN_003</t>
        </is>
      </c>
      <c r="B81" s="21" t="inlineStr">
        <is>
          <t>Disease Scan &amp; AI Diagnostics</t>
        </is>
      </c>
      <c r="C81" s="21" t="inlineStr">
        <is>
          <t>Touch Gesture</t>
        </is>
      </c>
      <c r="D81" s="21" t="inlineStr">
        <is>
          <t>Crop Selector</t>
        </is>
      </c>
      <c r="E81" s="21" t="inlineStr">
        <is>
          <t>Verify Crop Selector functionality on Android Native Webview - Case 3</t>
        </is>
      </c>
      <c r="F81" s="22" t="inlineStr">
        <is>
          <t>AgroVision web app running on Android Native Webview, User state initialized, Network connected.</t>
        </is>
      </c>
      <c r="G81" s="22" t="inlineStr">
        <is>
          <t>1. Launch browser on Android Native Webview
2. Navigate to /scan
3. Trigger action for Crop Selector
4. Verify DOM element response &amp; mobile touch feedback.</t>
        </is>
      </c>
      <c r="H81" s="22" t="inlineStr">
        <is>
          <t>Crop Selector renders correctly without breaking layout, updating state in &lt; 1.5s.</t>
        </is>
      </c>
      <c r="I81" s="22" t="inlineStr">
        <is>
          <t>Successfully verified Crop Selector functionality on mobile viewport with expected UI state.</t>
        </is>
      </c>
      <c r="J81" s="23" t="inlineStr">
        <is>
          <t>PASS</t>
        </is>
      </c>
      <c r="K81" s="24" t="inlineStr">
        <is>
          <t>CRITICAL</t>
        </is>
      </c>
      <c r="L81" s="20" t="n">
        <v>690</v>
      </c>
      <c r="M81" s="20" t="inlineStr">
        <is>
          <t>Android Native Webview</t>
        </is>
      </c>
      <c r="N81" s="20" t="inlineStr">
        <is>
          <t>Appium WebdriverIO</t>
        </is>
      </c>
    </row>
    <row r="82">
      <c r="A82" s="20" t="inlineStr">
        <is>
          <t>TC_SCAN_004</t>
        </is>
      </c>
      <c r="B82" s="21" t="inlineStr">
        <is>
          <t>Disease Scan &amp; AI Diagnostics</t>
        </is>
      </c>
      <c r="C82" s="21" t="inlineStr">
        <is>
          <t>Offline DB</t>
        </is>
      </c>
      <c r="D82" s="21" t="inlineStr">
        <is>
          <t>TensorFlow WebGL</t>
        </is>
      </c>
      <c r="E82" s="21" t="inlineStr">
        <is>
          <t>Verify TensorFlow WebGL functionality on iOS Hybrid App - Case 4</t>
        </is>
      </c>
      <c r="F82" s="22" t="inlineStr">
        <is>
          <t>AgroVision web app running on iOS Hybrid App, User state initialized, Network connected.</t>
        </is>
      </c>
      <c r="G82" s="22" t="inlineStr">
        <is>
          <t>1. Launch browser on iOS Hybrid App
2. Navigate to /scan
3. Trigger action for TensorFlow WebGL
4. Verify DOM element response &amp; mobile touch feedback.</t>
        </is>
      </c>
      <c r="H82" s="22" t="inlineStr">
        <is>
          <t>TensorFlow WebGL renders correctly without breaking layout, updating state in &lt; 1.5s.</t>
        </is>
      </c>
      <c r="I82" s="22" t="inlineStr">
        <is>
          <t>Successfully verified TensorFlow WebGL functionality on mobile viewport with expected UI state.</t>
        </is>
      </c>
      <c r="J82" s="23" t="inlineStr">
        <is>
          <t>PASS</t>
        </is>
      </c>
      <c r="K82" s="24" t="inlineStr">
        <is>
          <t>CRITICAL</t>
        </is>
      </c>
      <c r="L82" s="20" t="n">
        <v>1484</v>
      </c>
      <c r="M82" s="20" t="inlineStr">
        <is>
          <t>iOS Hybrid App</t>
        </is>
      </c>
      <c r="N82" s="20" t="inlineStr">
        <is>
          <t>Appium WebdriverIO</t>
        </is>
      </c>
    </row>
    <row r="83">
      <c r="A83" s="20" t="inlineStr">
        <is>
          <t>TC_SCAN_005</t>
        </is>
      </c>
      <c r="B83" s="21" t="inlineStr">
        <is>
          <t>Disease Scan &amp; AI Diagnostics</t>
        </is>
      </c>
      <c r="C83" s="21" t="inlineStr">
        <is>
          <t>Performance</t>
        </is>
      </c>
      <c r="D83" s="21" t="inlineStr">
        <is>
          <t>TFLite Model Load</t>
        </is>
      </c>
      <c r="E83" s="21" t="inlineStr">
        <is>
          <t>Verify TFLite Model Load functionality on Android - Chrome - Case 5</t>
        </is>
      </c>
      <c r="F83" s="22" t="inlineStr">
        <is>
          <t>AgroVision web app running on Android - Chrome, User state initialized, Network connected.</t>
        </is>
      </c>
      <c r="G83" s="22" t="inlineStr">
        <is>
          <t>1. Launch browser on Android - Chrome
2. Navigate to /scan
3. Trigger action for TFLite Model Load
4. Verify DOM element response &amp; mobile touch feedback.</t>
        </is>
      </c>
      <c r="H83" s="22" t="inlineStr">
        <is>
          <t>TFLite Model Load renders correctly without breaking layout, updating state in &lt; 1.5s.</t>
        </is>
      </c>
      <c r="I83" s="22" t="inlineStr">
        <is>
          <t>Successfully verified TFLite Model Load functionality on mobile viewport with expected UI state.</t>
        </is>
      </c>
      <c r="J83" s="23" t="inlineStr">
        <is>
          <t>PASS</t>
        </is>
      </c>
      <c r="K83" s="24" t="inlineStr">
        <is>
          <t>CRITICAL</t>
        </is>
      </c>
      <c r="L83" s="20" t="n">
        <v>1406</v>
      </c>
      <c r="M83" s="20" t="inlineStr">
        <is>
          <t>Android - Chrome</t>
        </is>
      </c>
      <c r="N83" s="20" t="inlineStr">
        <is>
          <t>Appium WebdriverIO</t>
        </is>
      </c>
    </row>
    <row r="84">
      <c r="A84" s="20" t="inlineStr">
        <is>
          <t>TC_SCAN_006</t>
        </is>
      </c>
      <c r="B84" s="21" t="inlineStr">
        <is>
          <t>Disease Scan &amp; AI Diagnostics</t>
        </is>
      </c>
      <c r="C84" s="21" t="inlineStr">
        <is>
          <t>Security</t>
        </is>
      </c>
      <c r="D84" s="21" t="inlineStr">
        <is>
          <t>Confidence Score Badge</t>
        </is>
      </c>
      <c r="E84" s="21" t="inlineStr">
        <is>
          <t>Verify Confidence Score Badge functionality on iOS - Safari - Case 6</t>
        </is>
      </c>
      <c r="F84" s="22" t="inlineStr">
        <is>
          <t>AgroVision web app running on iOS - Safari, User state initialized, Network connected.</t>
        </is>
      </c>
      <c r="G84" s="22" t="inlineStr">
        <is>
          <t>1. Launch browser on iOS - Safari
2. Navigate to /scan
3. Trigger action for Confidence Score Badge
4. Verify DOM element response &amp; mobile touch feedback.</t>
        </is>
      </c>
      <c r="H84" s="22" t="inlineStr">
        <is>
          <t>Confidence Score Badge renders correctly without breaking layout, updating state in &lt; 1.5s.</t>
        </is>
      </c>
      <c r="I84" s="22" t="inlineStr">
        <is>
          <t>Successfully verified Confidence Score Badge functionality on mobile viewport with expected UI state.</t>
        </is>
      </c>
      <c r="J84" s="23" t="inlineStr">
        <is>
          <t>PASS</t>
        </is>
      </c>
      <c r="K84" s="24" t="inlineStr">
        <is>
          <t>CRITICAL</t>
        </is>
      </c>
      <c r="L84" s="20" t="n">
        <v>1020</v>
      </c>
      <c r="M84" s="20" t="inlineStr">
        <is>
          <t>iOS - Safari</t>
        </is>
      </c>
      <c r="N84" s="20" t="inlineStr">
        <is>
          <t>Appium WebdriverIO</t>
        </is>
      </c>
    </row>
    <row r="85">
      <c r="A85" s="20" t="inlineStr">
        <is>
          <t>TC_SCAN_007</t>
        </is>
      </c>
      <c r="B85" s="21" t="inlineStr">
        <is>
          <t>Disease Scan &amp; AI Diagnostics</t>
        </is>
      </c>
      <c r="C85" s="21" t="inlineStr">
        <is>
          <t>Accessibility</t>
        </is>
      </c>
      <c r="D85" s="21" t="inlineStr">
        <is>
          <t>Treatment Guide</t>
        </is>
      </c>
      <c r="E85" s="21" t="inlineStr">
        <is>
          <t>Verify Treatment Guide functionality on Android Native Webview - Case 7</t>
        </is>
      </c>
      <c r="F85" s="22" t="inlineStr">
        <is>
          <t>AgroVision web app running on Android Native Webview, User state initialized, Network connected.</t>
        </is>
      </c>
      <c r="G85" s="22" t="inlineStr">
        <is>
          <t>1. Launch browser on Android Native Webview
2. Navigate to /scan
3. Trigger action for Treatment Guide
4. Verify DOM element response &amp; mobile touch feedback.</t>
        </is>
      </c>
      <c r="H85" s="22" t="inlineStr">
        <is>
          <t>Treatment Guide renders correctly without breaking layout, updating state in &lt; 1.5s.</t>
        </is>
      </c>
      <c r="I85" s="22" t="inlineStr">
        <is>
          <t>Element mismatch on mobile screen: Expected button enabled, observed timeout on Treatment Guide interaction.</t>
        </is>
      </c>
      <c r="J85" s="26" t="inlineStr">
        <is>
          <t>FAIL</t>
        </is>
      </c>
      <c r="K85" s="24" t="inlineStr">
        <is>
          <t>CRITICAL</t>
        </is>
      </c>
      <c r="L85" s="20" t="n">
        <v>700</v>
      </c>
      <c r="M85" s="20" t="inlineStr">
        <is>
          <t>Android Native Webview</t>
        </is>
      </c>
      <c r="N85" s="20" t="inlineStr">
        <is>
          <t>Appium WebdriverIO</t>
        </is>
      </c>
    </row>
    <row r="86">
      <c r="A86" s="20" t="inlineStr">
        <is>
          <t>TC_SCAN_008</t>
        </is>
      </c>
      <c r="B86" s="21" t="inlineStr">
        <is>
          <t>Disease Scan &amp; AI Diagnostics</t>
        </is>
      </c>
      <c r="C86" s="21" t="inlineStr">
        <is>
          <t>Functional</t>
        </is>
      </c>
      <c r="D86" s="21" t="inlineStr">
        <is>
          <t>PDF Advisory Download</t>
        </is>
      </c>
      <c r="E86" s="21" t="inlineStr">
        <is>
          <t>Verify PDF Advisory Download functionality on iOS Hybrid App - Case 8</t>
        </is>
      </c>
      <c r="F86" s="22" t="inlineStr">
        <is>
          <t>AgroVision web app running on iOS Hybrid App, User state initialized, Network connected.</t>
        </is>
      </c>
      <c r="G86" s="22" t="inlineStr">
        <is>
          <t>1. Launch browser on iOS Hybrid App
2. Navigate to /scan
3. Trigger action for PDF Advisory Download
4. Verify DOM element response &amp; mobile touch feedback.</t>
        </is>
      </c>
      <c r="H86" s="22" t="inlineStr">
        <is>
          <t>PDF Advisory Download renders correctly without breaking layout, updating state in &lt; 1.5s.</t>
        </is>
      </c>
      <c r="I86" s="22" t="inlineStr">
        <is>
          <t>Successfully verified PDF Advisory Download functionality on mobile viewport with expected UI state.</t>
        </is>
      </c>
      <c r="J86" s="23" t="inlineStr">
        <is>
          <t>PASS</t>
        </is>
      </c>
      <c r="K86" s="24" t="inlineStr">
        <is>
          <t>CRITICAL</t>
        </is>
      </c>
      <c r="L86" s="20" t="n">
        <v>1634</v>
      </c>
      <c r="M86" s="20" t="inlineStr">
        <is>
          <t>iOS Hybrid App</t>
        </is>
      </c>
      <c r="N86" s="20" t="inlineStr">
        <is>
          <t>Appium WebdriverIO</t>
        </is>
      </c>
    </row>
    <row r="87">
      <c r="A87" s="20" t="inlineStr">
        <is>
          <t>TC_SCAN_009</t>
        </is>
      </c>
      <c r="B87" s="21" t="inlineStr">
        <is>
          <t>Disease Scan &amp; AI Diagnostics</t>
        </is>
      </c>
      <c r="C87" s="21" t="inlineStr">
        <is>
          <t>UI Layout</t>
        </is>
      </c>
      <c r="D87" s="21" t="inlineStr">
        <is>
          <t>Camera Capture</t>
        </is>
      </c>
      <c r="E87" s="21" t="inlineStr">
        <is>
          <t>Verify Camera Capture functionality on Android - Chrome - Case 9</t>
        </is>
      </c>
      <c r="F87" s="22" t="inlineStr">
        <is>
          <t>AgroVision web app running on Android - Chrome, User state initialized, Network connected.</t>
        </is>
      </c>
      <c r="G87" s="22" t="inlineStr">
        <is>
          <t>1. Launch browser on Android - Chrome
2. Navigate to /scan
3. Trigger action for Camera Capture
4. Verify DOM element response &amp; mobile touch feedback.</t>
        </is>
      </c>
      <c r="H87" s="22" t="inlineStr">
        <is>
          <t>Camera Capture renders correctly without breaking layout, updating state in &lt; 1.5s.</t>
        </is>
      </c>
      <c r="I87" s="22" t="inlineStr">
        <is>
          <t>Successfully verified Camera Capture functionality on mobile viewport with expected UI state.</t>
        </is>
      </c>
      <c r="J87" s="23" t="inlineStr">
        <is>
          <t>PASS</t>
        </is>
      </c>
      <c r="K87" s="24" t="inlineStr">
        <is>
          <t>CRITICAL</t>
        </is>
      </c>
      <c r="L87" s="20" t="n">
        <v>1399</v>
      </c>
      <c r="M87" s="20" t="inlineStr">
        <is>
          <t>Android - Chrome</t>
        </is>
      </c>
      <c r="N87" s="20" t="inlineStr">
        <is>
          <t>Appium WebdriverIO</t>
        </is>
      </c>
    </row>
    <row r="88">
      <c r="A88" s="20" t="inlineStr">
        <is>
          <t>TC_SCAN_010</t>
        </is>
      </c>
      <c r="B88" s="21" t="inlineStr">
        <is>
          <t>Disease Scan &amp; AI Diagnostics</t>
        </is>
      </c>
      <c r="C88" s="21" t="inlineStr">
        <is>
          <t>Touch Gesture</t>
        </is>
      </c>
      <c r="D88" s="21" t="inlineStr">
        <is>
          <t>Image File Upload</t>
        </is>
      </c>
      <c r="E88" s="21" t="inlineStr">
        <is>
          <t>Verify Image File Upload functionality on iOS - Safari - Case 10</t>
        </is>
      </c>
      <c r="F88" s="22" t="inlineStr">
        <is>
          <t>AgroVision web app running on iOS - Safari, User state initialized, Network connected.</t>
        </is>
      </c>
      <c r="G88" s="22" t="inlineStr">
        <is>
          <t>1. Launch browser on iOS - Safari
2. Navigate to /scan
3. Trigger action for Image File Upload
4. Verify DOM element response &amp; mobile touch feedback.</t>
        </is>
      </c>
      <c r="H88" s="22" t="inlineStr">
        <is>
          <t>Image File Upload renders correctly without breaking layout, updating state in &lt; 1.5s.</t>
        </is>
      </c>
      <c r="I88" s="22" t="inlineStr">
        <is>
          <t>Successfully verified Image File Upload functionality on mobile viewport with expected UI state.</t>
        </is>
      </c>
      <c r="J88" s="23" t="inlineStr">
        <is>
          <t>PASS</t>
        </is>
      </c>
      <c r="K88" s="24" t="inlineStr">
        <is>
          <t>CRITICAL</t>
        </is>
      </c>
      <c r="L88" s="20" t="n">
        <v>583</v>
      </c>
      <c r="M88" s="20" t="inlineStr">
        <is>
          <t>iOS - Safari</t>
        </is>
      </c>
      <c r="N88" s="20" t="inlineStr">
        <is>
          <t>Appium WebdriverIO</t>
        </is>
      </c>
    </row>
    <row r="89">
      <c r="A89" s="20" t="inlineStr">
        <is>
          <t>TC_SCAN_011</t>
        </is>
      </c>
      <c r="B89" s="21" t="inlineStr">
        <is>
          <t>Disease Scan &amp; AI Diagnostics</t>
        </is>
      </c>
      <c r="C89" s="21" t="inlineStr">
        <is>
          <t>Offline DB</t>
        </is>
      </c>
      <c r="D89" s="21" t="inlineStr">
        <is>
          <t>Crop Selector</t>
        </is>
      </c>
      <c r="E89" s="21" t="inlineStr">
        <is>
          <t>Verify Crop Selector functionality on Android Native Webview - Case 11</t>
        </is>
      </c>
      <c r="F89" s="22" t="inlineStr">
        <is>
          <t>AgroVision web app running on Android Native Webview, User state initialized, Network connected.</t>
        </is>
      </c>
      <c r="G89" s="22" t="inlineStr">
        <is>
          <t>1. Launch browser on Android Native Webview
2. Navigate to /scan
3. Trigger action for Crop Selector
4. Verify DOM element response &amp; mobile touch feedback.</t>
        </is>
      </c>
      <c r="H89" s="22" t="inlineStr">
        <is>
          <t>Crop Selector renders correctly without breaking layout, updating state in &lt; 1.5s.</t>
        </is>
      </c>
      <c r="I89" s="22" t="inlineStr">
        <is>
          <t>Successfully verified Crop Selector functionality on mobile viewport with expected UI state.</t>
        </is>
      </c>
      <c r="J89" s="23" t="inlineStr">
        <is>
          <t>PASS</t>
        </is>
      </c>
      <c r="K89" s="24" t="inlineStr">
        <is>
          <t>CRITICAL</t>
        </is>
      </c>
      <c r="L89" s="20" t="n">
        <v>1609</v>
      </c>
      <c r="M89" s="20" t="inlineStr">
        <is>
          <t>Android Native Webview</t>
        </is>
      </c>
      <c r="N89" s="20" t="inlineStr">
        <is>
          <t>Appium WebdriverIO</t>
        </is>
      </c>
    </row>
    <row r="90">
      <c r="A90" s="20" t="inlineStr">
        <is>
          <t>TC_SCAN_012</t>
        </is>
      </c>
      <c r="B90" s="21" t="inlineStr">
        <is>
          <t>Disease Scan &amp; AI Diagnostics</t>
        </is>
      </c>
      <c r="C90" s="21" t="inlineStr">
        <is>
          <t>Performance</t>
        </is>
      </c>
      <c r="D90" s="21" t="inlineStr">
        <is>
          <t>TensorFlow WebGL</t>
        </is>
      </c>
      <c r="E90" s="21" t="inlineStr">
        <is>
          <t>Verify TensorFlow WebGL functionality on iOS Hybrid App - Case 12</t>
        </is>
      </c>
      <c r="F90" s="22" t="inlineStr">
        <is>
          <t>AgroVision web app running on iOS Hybrid App, User state initialized, Network connected.</t>
        </is>
      </c>
      <c r="G90" s="22" t="inlineStr">
        <is>
          <t>1. Launch browser on iOS Hybrid App
2. Navigate to /scan
3. Trigger action for TensorFlow WebGL
4. Verify DOM element response &amp; mobile touch feedback.</t>
        </is>
      </c>
      <c r="H90" s="22" t="inlineStr">
        <is>
          <t>TensorFlow WebGL renders correctly without breaking layout, updating state in &lt; 1.5s.</t>
        </is>
      </c>
      <c r="I90" s="22" t="inlineStr">
        <is>
          <t>Successfully verified TensorFlow WebGL functionality on mobile viewport with expected UI state.</t>
        </is>
      </c>
      <c r="J90" s="23" t="inlineStr">
        <is>
          <t>PASS</t>
        </is>
      </c>
      <c r="K90" s="24" t="inlineStr">
        <is>
          <t>CRITICAL</t>
        </is>
      </c>
      <c r="L90" s="20" t="n">
        <v>864</v>
      </c>
      <c r="M90" s="20" t="inlineStr">
        <is>
          <t>iOS Hybrid App</t>
        </is>
      </c>
      <c r="N90" s="20" t="inlineStr">
        <is>
          <t>Appium WebdriverIO</t>
        </is>
      </c>
    </row>
    <row r="91">
      <c r="A91" s="20" t="inlineStr">
        <is>
          <t>TC_SCAN_013</t>
        </is>
      </c>
      <c r="B91" s="21" t="inlineStr">
        <is>
          <t>Disease Scan &amp; AI Diagnostics</t>
        </is>
      </c>
      <c r="C91" s="21" t="inlineStr">
        <is>
          <t>Security</t>
        </is>
      </c>
      <c r="D91" s="21" t="inlineStr">
        <is>
          <t>TFLite Model Load</t>
        </is>
      </c>
      <c r="E91" s="21" t="inlineStr">
        <is>
          <t>Verify TFLite Model Load functionality on Android - Chrome - Case 13</t>
        </is>
      </c>
      <c r="F91" s="22" t="inlineStr">
        <is>
          <t>AgroVision web app running on Android - Chrome, User state initialized, Network connected.</t>
        </is>
      </c>
      <c r="G91" s="22" t="inlineStr">
        <is>
          <t>1. Launch browser on Android - Chrome
2. Navigate to /scan
3. Trigger action for TFLite Model Load
4. Verify DOM element response &amp; mobile touch feedback.</t>
        </is>
      </c>
      <c r="H91" s="22" t="inlineStr">
        <is>
          <t>TFLite Model Load renders correctly without breaking layout, updating state in &lt; 1.5s.</t>
        </is>
      </c>
      <c r="I91" s="22" t="inlineStr">
        <is>
          <t>Successfully verified TFLite Model Load functionality on mobile viewport with expected UI state.</t>
        </is>
      </c>
      <c r="J91" s="23" t="inlineStr">
        <is>
          <t>PASS</t>
        </is>
      </c>
      <c r="K91" s="24" t="inlineStr">
        <is>
          <t>CRITICAL</t>
        </is>
      </c>
      <c r="L91" s="20" t="n">
        <v>448</v>
      </c>
      <c r="M91" s="20" t="inlineStr">
        <is>
          <t>Android - Chrome</t>
        </is>
      </c>
      <c r="N91" s="20" t="inlineStr">
        <is>
          <t>Appium WebdriverIO</t>
        </is>
      </c>
    </row>
    <row r="92">
      <c r="A92" s="20" t="inlineStr">
        <is>
          <t>TC_SCAN_014</t>
        </is>
      </c>
      <c r="B92" s="21" t="inlineStr">
        <is>
          <t>Disease Scan &amp; AI Diagnostics</t>
        </is>
      </c>
      <c r="C92" s="21" t="inlineStr">
        <is>
          <t>Accessibility</t>
        </is>
      </c>
      <c r="D92" s="21" t="inlineStr">
        <is>
          <t>Confidence Score Badge</t>
        </is>
      </c>
      <c r="E92" s="21" t="inlineStr">
        <is>
          <t>Verify Confidence Score Badge functionality on iOS - Safari - Case 14</t>
        </is>
      </c>
      <c r="F92" s="22" t="inlineStr">
        <is>
          <t>AgroVision web app running on iOS - Safari, User state initialized, Network connected.</t>
        </is>
      </c>
      <c r="G92" s="22" t="inlineStr">
        <is>
          <t>1. Launch browser on iOS - Safari
2. Navigate to /scan
3. Trigger action for Confidence Score Badge
4. Verify DOM element response &amp; mobile touch feedback.</t>
        </is>
      </c>
      <c r="H92" s="22" t="inlineStr">
        <is>
          <t>Confidence Score Badge renders correctly without breaking layout, updating state in &lt; 1.5s.</t>
        </is>
      </c>
      <c r="I92" s="22" t="inlineStr">
        <is>
          <t>Successfully verified Confidence Score Badge functionality on mobile viewport with expected UI state.</t>
        </is>
      </c>
      <c r="J92" s="23" t="inlineStr">
        <is>
          <t>PASS</t>
        </is>
      </c>
      <c r="K92" s="24" t="inlineStr">
        <is>
          <t>CRITICAL</t>
        </is>
      </c>
      <c r="L92" s="20" t="n">
        <v>808</v>
      </c>
      <c r="M92" s="20" t="inlineStr">
        <is>
          <t>iOS - Safari</t>
        </is>
      </c>
      <c r="N92" s="20" t="inlineStr">
        <is>
          <t>Appium WebdriverIO</t>
        </is>
      </c>
    </row>
    <row r="93">
      <c r="A93" s="20" t="inlineStr">
        <is>
          <t>TC_SCAN_015</t>
        </is>
      </c>
      <c r="B93" s="21" t="inlineStr">
        <is>
          <t>Disease Scan &amp; AI Diagnostics</t>
        </is>
      </c>
      <c r="C93" s="21" t="inlineStr">
        <is>
          <t>Functional</t>
        </is>
      </c>
      <c r="D93" s="21" t="inlineStr">
        <is>
          <t>Treatment Guide</t>
        </is>
      </c>
      <c r="E93" s="21" t="inlineStr">
        <is>
          <t>Verify Treatment Guide functionality on Android Native Webview - Case 15</t>
        </is>
      </c>
      <c r="F93" s="22" t="inlineStr">
        <is>
          <t>AgroVision web app running on Android Native Webview, User state initialized, Network connected.</t>
        </is>
      </c>
      <c r="G93" s="22" t="inlineStr">
        <is>
          <t>1. Launch browser on Android Native Webview
2. Navigate to /scan
3. Trigger action for Treatment Guide
4. Verify DOM element response &amp; mobile touch feedback.</t>
        </is>
      </c>
      <c r="H93" s="22" t="inlineStr">
        <is>
          <t>Treatment Guide renders correctly without breaking layout, updating state in &lt; 1.5s.</t>
        </is>
      </c>
      <c r="I93" s="22" t="inlineStr">
        <is>
          <t>Successfully verified Treatment Guide functionality on mobile viewport with expected UI state.</t>
        </is>
      </c>
      <c r="J93" s="23" t="inlineStr">
        <is>
          <t>PASS</t>
        </is>
      </c>
      <c r="K93" s="24" t="inlineStr">
        <is>
          <t>CRITICAL</t>
        </is>
      </c>
      <c r="L93" s="20" t="n">
        <v>525</v>
      </c>
      <c r="M93" s="20" t="inlineStr">
        <is>
          <t>Android Native Webview</t>
        </is>
      </c>
      <c r="N93" s="20" t="inlineStr">
        <is>
          <t>Appium WebdriverIO</t>
        </is>
      </c>
    </row>
    <row r="94">
      <c r="A94" s="20" t="inlineStr">
        <is>
          <t>TC_SCAN_016</t>
        </is>
      </c>
      <c r="B94" s="21" t="inlineStr">
        <is>
          <t>Disease Scan &amp; AI Diagnostics</t>
        </is>
      </c>
      <c r="C94" s="21" t="inlineStr">
        <is>
          <t>UI Layout</t>
        </is>
      </c>
      <c r="D94" s="21" t="inlineStr">
        <is>
          <t>PDF Advisory Download</t>
        </is>
      </c>
      <c r="E94" s="21" t="inlineStr">
        <is>
          <t>Verify PDF Advisory Download functionality on iOS Hybrid App - Case 16</t>
        </is>
      </c>
      <c r="F94" s="22" t="inlineStr">
        <is>
          <t>AgroVision web app running on iOS Hybrid App, User state initialized, Network connected.</t>
        </is>
      </c>
      <c r="G94" s="22" t="inlineStr">
        <is>
          <t>1. Launch browser on iOS Hybrid App
2. Navigate to /scan
3. Trigger action for PDF Advisory Download
4. Verify DOM element response &amp; mobile touch feedback.</t>
        </is>
      </c>
      <c r="H94" s="22" t="inlineStr">
        <is>
          <t>PDF Advisory Download renders correctly without breaking layout, updating state in &lt; 1.5s.</t>
        </is>
      </c>
      <c r="I94" s="22" t="inlineStr">
        <is>
          <t>Successfully verified PDF Advisory Download functionality on mobile viewport with expected UI state.</t>
        </is>
      </c>
      <c r="J94" s="23" t="inlineStr">
        <is>
          <t>PASS</t>
        </is>
      </c>
      <c r="K94" s="25" t="inlineStr">
        <is>
          <t>HIGH</t>
        </is>
      </c>
      <c r="L94" s="20" t="n">
        <v>1138</v>
      </c>
      <c r="M94" s="20" t="inlineStr">
        <is>
          <t>iOS Hybrid App</t>
        </is>
      </c>
      <c r="N94" s="20" t="inlineStr">
        <is>
          <t>Appium WebdriverIO</t>
        </is>
      </c>
    </row>
    <row r="95">
      <c r="A95" s="20" t="inlineStr">
        <is>
          <t>TC_SCAN_017</t>
        </is>
      </c>
      <c r="B95" s="21" t="inlineStr">
        <is>
          <t>Disease Scan &amp; AI Diagnostics</t>
        </is>
      </c>
      <c r="C95" s="21" t="inlineStr">
        <is>
          <t>Touch Gesture</t>
        </is>
      </c>
      <c r="D95" s="21" t="inlineStr">
        <is>
          <t>Camera Capture</t>
        </is>
      </c>
      <c r="E95" s="21" t="inlineStr">
        <is>
          <t>Verify Camera Capture functionality on Android - Chrome - Case 17</t>
        </is>
      </c>
      <c r="F95" s="22" t="inlineStr">
        <is>
          <t>AgroVision web app running on Android - Chrome, User state initialized, Network connected.</t>
        </is>
      </c>
      <c r="G95" s="22" t="inlineStr">
        <is>
          <t>1. Launch browser on Android - Chrome
2. Navigate to /scan
3. Trigger action for Camera Capture
4. Verify DOM element response &amp; mobile touch feedback.</t>
        </is>
      </c>
      <c r="H95" s="22" t="inlineStr">
        <is>
          <t>Camera Capture renders correctly without breaking layout, updating state in &lt; 1.5s.</t>
        </is>
      </c>
      <c r="I95" s="22" t="inlineStr">
        <is>
          <t>Successfully verified Camera Capture functionality on mobile viewport with expected UI state.</t>
        </is>
      </c>
      <c r="J95" s="23" t="inlineStr">
        <is>
          <t>PASS</t>
        </is>
      </c>
      <c r="K95" s="25" t="inlineStr">
        <is>
          <t>HIGH</t>
        </is>
      </c>
      <c r="L95" s="20" t="n">
        <v>864</v>
      </c>
      <c r="M95" s="20" t="inlineStr">
        <is>
          <t>Android - Chrome</t>
        </is>
      </c>
      <c r="N95" s="20" t="inlineStr">
        <is>
          <t>Appium WebdriverIO</t>
        </is>
      </c>
    </row>
    <row r="96">
      <c r="A96" s="20" t="inlineStr">
        <is>
          <t>TC_SCAN_018</t>
        </is>
      </c>
      <c r="B96" s="21" t="inlineStr">
        <is>
          <t>Disease Scan &amp; AI Diagnostics</t>
        </is>
      </c>
      <c r="C96" s="21" t="inlineStr">
        <is>
          <t>Offline DB</t>
        </is>
      </c>
      <c r="D96" s="21" t="inlineStr">
        <is>
          <t>Image File Upload</t>
        </is>
      </c>
      <c r="E96" s="21" t="inlineStr">
        <is>
          <t>Verify Image File Upload functionality on iOS - Safari - Case 18</t>
        </is>
      </c>
      <c r="F96" s="22" t="inlineStr">
        <is>
          <t>AgroVision web app running on iOS - Safari, User state initialized, Network connected.</t>
        </is>
      </c>
      <c r="G96" s="22" t="inlineStr">
        <is>
          <t>1. Launch browser on iOS - Safari
2. Navigate to /scan
3. Trigger action for Image File Upload
4. Verify DOM element response &amp; mobile touch feedback.</t>
        </is>
      </c>
      <c r="H96" s="22" t="inlineStr">
        <is>
          <t>Image File Upload renders correctly without breaking layout, updating state in &lt; 1.5s.</t>
        </is>
      </c>
      <c r="I96" s="22" t="inlineStr">
        <is>
          <t>Successfully verified Image File Upload functionality on mobile viewport with expected UI state.</t>
        </is>
      </c>
      <c r="J96" s="23" t="inlineStr">
        <is>
          <t>PASS</t>
        </is>
      </c>
      <c r="K96" s="25" t="inlineStr">
        <is>
          <t>HIGH</t>
        </is>
      </c>
      <c r="L96" s="20" t="n">
        <v>1123</v>
      </c>
      <c r="M96" s="20" t="inlineStr">
        <is>
          <t>iOS - Safari</t>
        </is>
      </c>
      <c r="N96" s="20" t="inlineStr">
        <is>
          <t>Appium WebdriverIO</t>
        </is>
      </c>
    </row>
    <row r="97">
      <c r="A97" s="20" t="inlineStr">
        <is>
          <t>TC_SCAN_019</t>
        </is>
      </c>
      <c r="B97" s="21" t="inlineStr">
        <is>
          <t>Disease Scan &amp; AI Diagnostics</t>
        </is>
      </c>
      <c r="C97" s="21" t="inlineStr">
        <is>
          <t>Performance</t>
        </is>
      </c>
      <c r="D97" s="21" t="inlineStr">
        <is>
          <t>Crop Selector</t>
        </is>
      </c>
      <c r="E97" s="21" t="inlineStr">
        <is>
          <t>Verify Crop Selector functionality on Android Native Webview - Case 19</t>
        </is>
      </c>
      <c r="F97" s="22" t="inlineStr">
        <is>
          <t>AgroVision web app running on Android Native Webview, User state initialized, Network connected.</t>
        </is>
      </c>
      <c r="G97" s="22" t="inlineStr">
        <is>
          <t>1. Launch browser on Android Native Webview
2. Navigate to /scan
3. Trigger action for Crop Selector
4. Verify DOM element response &amp; mobile touch feedback.</t>
        </is>
      </c>
      <c r="H97" s="22" t="inlineStr">
        <is>
          <t>Crop Selector renders correctly without breaking layout, updating state in &lt; 1.5s.</t>
        </is>
      </c>
      <c r="I97" s="22" t="inlineStr">
        <is>
          <t>Touch gesture response delayed (&gt;1500ms) on Crop Selector during low memory state.</t>
        </is>
      </c>
      <c r="J97" s="26" t="inlineStr">
        <is>
          <t>FAIL</t>
        </is>
      </c>
      <c r="K97" s="25" t="inlineStr">
        <is>
          <t>HIGH</t>
        </is>
      </c>
      <c r="L97" s="20" t="n">
        <v>1612</v>
      </c>
      <c r="M97" s="20" t="inlineStr">
        <is>
          <t>Android Native Webview</t>
        </is>
      </c>
      <c r="N97" s="20" t="inlineStr">
        <is>
          <t>Appium WebdriverIO</t>
        </is>
      </c>
    </row>
    <row r="98">
      <c r="A98" s="20" t="inlineStr">
        <is>
          <t>TC_SCAN_020</t>
        </is>
      </c>
      <c r="B98" s="21" t="inlineStr">
        <is>
          <t>Disease Scan &amp; AI Diagnostics</t>
        </is>
      </c>
      <c r="C98" s="21" t="inlineStr">
        <is>
          <t>Security</t>
        </is>
      </c>
      <c r="D98" s="21" t="inlineStr">
        <is>
          <t>TensorFlow WebGL</t>
        </is>
      </c>
      <c r="E98" s="21" t="inlineStr">
        <is>
          <t>Verify TensorFlow WebGL functionality on iOS Hybrid App - Case 20</t>
        </is>
      </c>
      <c r="F98" s="22" t="inlineStr">
        <is>
          <t>AgroVision web app running on iOS Hybrid App, User state initialized, Network connected.</t>
        </is>
      </c>
      <c r="G98" s="22" t="inlineStr">
        <is>
          <t>1. Launch browser on iOS Hybrid App
2. Navigate to /scan
3. Trigger action for TensorFlow WebGL
4. Verify DOM element response &amp; mobile touch feedback.</t>
        </is>
      </c>
      <c r="H98" s="22" t="inlineStr">
        <is>
          <t>TensorFlow WebGL renders correctly without breaking layout, updating state in &lt; 1.5s.</t>
        </is>
      </c>
      <c r="I98" s="22" t="inlineStr">
        <is>
          <t>Successfully verified TensorFlow WebGL functionality on mobile viewport with expected UI state.</t>
        </is>
      </c>
      <c r="J98" s="23" t="inlineStr">
        <is>
          <t>PASS</t>
        </is>
      </c>
      <c r="K98" s="25" t="inlineStr">
        <is>
          <t>HIGH</t>
        </is>
      </c>
      <c r="L98" s="20" t="n">
        <v>370</v>
      </c>
      <c r="M98" s="20" t="inlineStr">
        <is>
          <t>iOS Hybrid App</t>
        </is>
      </c>
      <c r="N98" s="20" t="inlineStr">
        <is>
          <t>Appium WebdriverIO</t>
        </is>
      </c>
    </row>
    <row r="99">
      <c r="A99" s="20" t="inlineStr">
        <is>
          <t>TC_SCAN_021</t>
        </is>
      </c>
      <c r="B99" s="21" t="inlineStr">
        <is>
          <t>Disease Scan &amp; AI Diagnostics</t>
        </is>
      </c>
      <c r="C99" s="21" t="inlineStr">
        <is>
          <t>Accessibility</t>
        </is>
      </c>
      <c r="D99" s="21" t="inlineStr">
        <is>
          <t>TFLite Model Load</t>
        </is>
      </c>
      <c r="E99" s="21" t="inlineStr">
        <is>
          <t>Verify TFLite Model Load functionality on Android - Chrome - Case 21</t>
        </is>
      </c>
      <c r="F99" s="22" t="inlineStr">
        <is>
          <t>AgroVision web app running on Android - Chrome, User state initialized, Network connected.</t>
        </is>
      </c>
      <c r="G99" s="22" t="inlineStr">
        <is>
          <t>1. Launch browser on Android - Chrome
2. Navigate to /scan
3. Trigger action for TFLite Model Load
4. Verify DOM element response &amp; mobile touch feedback.</t>
        </is>
      </c>
      <c r="H99" s="22" t="inlineStr">
        <is>
          <t>TFLite Model Load renders correctly without breaking layout, updating state in &lt; 1.5s.</t>
        </is>
      </c>
      <c r="I99" s="22" t="inlineStr">
        <is>
          <t>Successfully verified TFLite Model Load functionality on mobile viewport with expected UI state.</t>
        </is>
      </c>
      <c r="J99" s="23" t="inlineStr">
        <is>
          <t>PASS</t>
        </is>
      </c>
      <c r="K99" s="25" t="inlineStr">
        <is>
          <t>HIGH</t>
        </is>
      </c>
      <c r="L99" s="20" t="n">
        <v>1179</v>
      </c>
      <c r="M99" s="20" t="inlineStr">
        <is>
          <t>Android - Chrome</t>
        </is>
      </c>
      <c r="N99" s="20" t="inlineStr">
        <is>
          <t>Appium WebdriverIO</t>
        </is>
      </c>
    </row>
    <row r="100">
      <c r="A100" s="20" t="inlineStr">
        <is>
          <t>TC_SCAN_022</t>
        </is>
      </c>
      <c r="B100" s="21" t="inlineStr">
        <is>
          <t>Disease Scan &amp; AI Diagnostics</t>
        </is>
      </c>
      <c r="C100" s="21" t="inlineStr">
        <is>
          <t>Functional</t>
        </is>
      </c>
      <c r="D100" s="21" t="inlineStr">
        <is>
          <t>Confidence Score Badge</t>
        </is>
      </c>
      <c r="E100" s="21" t="inlineStr">
        <is>
          <t>Verify Confidence Score Badge functionality on iOS - Safari - Case 22</t>
        </is>
      </c>
      <c r="F100" s="22" t="inlineStr">
        <is>
          <t>AgroVision web app running on iOS - Safari, User state initialized, Network connected.</t>
        </is>
      </c>
      <c r="G100" s="22" t="inlineStr">
        <is>
          <t>1. Launch browser on iOS - Safari
2. Navigate to /scan
3. Trigger action for Confidence Score Badge
4. Verify DOM element response &amp; mobile touch feedback.</t>
        </is>
      </c>
      <c r="H100" s="22" t="inlineStr">
        <is>
          <t>Confidence Score Badge renders correctly without breaking layout, updating state in &lt; 1.5s.</t>
        </is>
      </c>
      <c r="I100" s="22" t="inlineStr">
        <is>
          <t>Successfully verified Confidence Score Badge functionality on mobile viewport with expected UI state.</t>
        </is>
      </c>
      <c r="J100" s="23" t="inlineStr">
        <is>
          <t>PASS</t>
        </is>
      </c>
      <c r="K100" s="25" t="inlineStr">
        <is>
          <t>HIGH</t>
        </is>
      </c>
      <c r="L100" s="20" t="n">
        <v>1345</v>
      </c>
      <c r="M100" s="20" t="inlineStr">
        <is>
          <t>iOS - Safari</t>
        </is>
      </c>
      <c r="N100" s="20" t="inlineStr">
        <is>
          <t>Appium WebdriverIO</t>
        </is>
      </c>
    </row>
    <row r="101">
      <c r="A101" s="20" t="inlineStr">
        <is>
          <t>TC_SCAN_023</t>
        </is>
      </c>
      <c r="B101" s="21" t="inlineStr">
        <is>
          <t>Disease Scan &amp; AI Diagnostics</t>
        </is>
      </c>
      <c r="C101" s="21" t="inlineStr">
        <is>
          <t>UI Layout</t>
        </is>
      </c>
      <c r="D101" s="21" t="inlineStr">
        <is>
          <t>Treatment Guide</t>
        </is>
      </c>
      <c r="E101" s="21" t="inlineStr">
        <is>
          <t>Verify Treatment Guide functionality on Android Native Webview - Case 23</t>
        </is>
      </c>
      <c r="F101" s="22" t="inlineStr">
        <is>
          <t>AgroVision web app running on Android Native Webview, User state initialized, Network connected.</t>
        </is>
      </c>
      <c r="G101" s="22" t="inlineStr">
        <is>
          <t>1. Launch browser on Android Native Webview
2. Navigate to /scan
3. Trigger action for Treatment Guide
4. Verify DOM element response &amp; mobile touch feedback.</t>
        </is>
      </c>
      <c r="H101" s="22" t="inlineStr">
        <is>
          <t>Treatment Guide renders correctly without breaking layout, updating state in &lt; 1.5s.</t>
        </is>
      </c>
      <c r="I101" s="22" t="inlineStr">
        <is>
          <t>Element mismatch on mobile screen: Expected button enabled, observed timeout on Treatment Guide interaction.</t>
        </is>
      </c>
      <c r="J101" s="26" t="inlineStr">
        <is>
          <t>FAIL</t>
        </is>
      </c>
      <c r="K101" s="25" t="inlineStr">
        <is>
          <t>HIGH</t>
        </is>
      </c>
      <c r="L101" s="20" t="n">
        <v>849</v>
      </c>
      <c r="M101" s="20" t="inlineStr">
        <is>
          <t>Android Native Webview</t>
        </is>
      </c>
      <c r="N101" s="20" t="inlineStr">
        <is>
          <t>Appium WebdriverIO</t>
        </is>
      </c>
    </row>
    <row r="102">
      <c r="A102" s="20" t="inlineStr">
        <is>
          <t>TC_SCAN_024</t>
        </is>
      </c>
      <c r="B102" s="21" t="inlineStr">
        <is>
          <t>Disease Scan &amp; AI Diagnostics</t>
        </is>
      </c>
      <c r="C102" s="21" t="inlineStr">
        <is>
          <t>Touch Gesture</t>
        </is>
      </c>
      <c r="D102" s="21" t="inlineStr">
        <is>
          <t>PDF Advisory Download</t>
        </is>
      </c>
      <c r="E102" s="21" t="inlineStr">
        <is>
          <t>Verify PDF Advisory Download functionality on iOS Hybrid App - Case 24</t>
        </is>
      </c>
      <c r="F102" s="22" t="inlineStr">
        <is>
          <t>AgroVision web app running on iOS Hybrid App, User state initialized, Network connected.</t>
        </is>
      </c>
      <c r="G102" s="22" t="inlineStr">
        <is>
          <t>1. Launch browser on iOS Hybrid App
2. Navigate to /scan
3. Trigger action for PDF Advisory Download
4. Verify DOM element response &amp; mobile touch feedback.</t>
        </is>
      </c>
      <c r="H102" s="22" t="inlineStr">
        <is>
          <t>PDF Advisory Download renders correctly without breaking layout, updating state in &lt; 1.5s.</t>
        </is>
      </c>
      <c r="I102" s="22" t="inlineStr">
        <is>
          <t>Successfully verified PDF Advisory Download functionality on mobile viewport with expected UI state.</t>
        </is>
      </c>
      <c r="J102" s="23" t="inlineStr">
        <is>
          <t>PASS</t>
        </is>
      </c>
      <c r="K102" s="25" t="inlineStr">
        <is>
          <t>HIGH</t>
        </is>
      </c>
      <c r="L102" s="20" t="n">
        <v>769</v>
      </c>
      <c r="M102" s="20" t="inlineStr">
        <is>
          <t>iOS Hybrid App</t>
        </is>
      </c>
      <c r="N102" s="20" t="inlineStr">
        <is>
          <t>Appium WebdriverIO</t>
        </is>
      </c>
    </row>
    <row r="103">
      <c r="A103" s="20" t="inlineStr">
        <is>
          <t>TC_SCAN_025</t>
        </is>
      </c>
      <c r="B103" s="21" t="inlineStr">
        <is>
          <t>Disease Scan &amp; AI Diagnostics</t>
        </is>
      </c>
      <c r="C103" s="21" t="inlineStr">
        <is>
          <t>Offline DB</t>
        </is>
      </c>
      <c r="D103" s="21" t="inlineStr">
        <is>
          <t>Camera Capture</t>
        </is>
      </c>
      <c r="E103" s="21" t="inlineStr">
        <is>
          <t>Verify Camera Capture functionality on Android - Chrome - Case 25</t>
        </is>
      </c>
      <c r="F103" s="22" t="inlineStr">
        <is>
          <t>AgroVision web app running on Android - Chrome, User state initialized, Network connected.</t>
        </is>
      </c>
      <c r="G103" s="22" t="inlineStr">
        <is>
          <t>1. Launch browser on Android - Chrome
2. Navigate to /scan
3. Trigger action for Camera Capture
4. Verify DOM element response &amp; mobile touch feedback.</t>
        </is>
      </c>
      <c r="H103" s="22" t="inlineStr">
        <is>
          <t>Camera Capture renders correctly without breaking layout, updating state in &lt; 1.5s.</t>
        </is>
      </c>
      <c r="I103" s="22" t="inlineStr">
        <is>
          <t>Successfully verified Camera Capture functionality on mobile viewport with expected UI state.</t>
        </is>
      </c>
      <c r="J103" s="23" t="inlineStr">
        <is>
          <t>PASS</t>
        </is>
      </c>
      <c r="K103" s="25" t="inlineStr">
        <is>
          <t>HIGH</t>
        </is>
      </c>
      <c r="L103" s="20" t="n">
        <v>1428</v>
      </c>
      <c r="M103" s="20" t="inlineStr">
        <is>
          <t>Android - Chrome</t>
        </is>
      </c>
      <c r="N103" s="20" t="inlineStr">
        <is>
          <t>Appium WebdriverIO</t>
        </is>
      </c>
    </row>
    <row r="104">
      <c r="A104" s="20" t="inlineStr">
        <is>
          <t>TC_SCAN_026</t>
        </is>
      </c>
      <c r="B104" s="21" t="inlineStr">
        <is>
          <t>Disease Scan &amp; AI Diagnostics</t>
        </is>
      </c>
      <c r="C104" s="21" t="inlineStr">
        <is>
          <t>Performance</t>
        </is>
      </c>
      <c r="D104" s="21" t="inlineStr">
        <is>
          <t>Image File Upload</t>
        </is>
      </c>
      <c r="E104" s="21" t="inlineStr">
        <is>
          <t>Verify Image File Upload functionality on iOS - Safari - Case 26</t>
        </is>
      </c>
      <c r="F104" s="22" t="inlineStr">
        <is>
          <t>AgroVision web app running on iOS - Safari, User state initialized, Network connected.</t>
        </is>
      </c>
      <c r="G104" s="22" t="inlineStr">
        <is>
          <t>1. Launch browser on iOS - Safari
2. Navigate to /scan
3. Trigger action for Image File Upload
4. Verify DOM element response &amp; mobile touch feedback.</t>
        </is>
      </c>
      <c r="H104" s="22" t="inlineStr">
        <is>
          <t>Image File Upload renders correctly without breaking layout, updating state in &lt; 1.5s.</t>
        </is>
      </c>
      <c r="I104" s="22" t="inlineStr">
        <is>
          <t>Successfully verified Image File Upload functionality on mobile viewport with expected UI state.</t>
        </is>
      </c>
      <c r="J104" s="23" t="inlineStr">
        <is>
          <t>PASS</t>
        </is>
      </c>
      <c r="K104" s="25" t="inlineStr">
        <is>
          <t>HIGH</t>
        </is>
      </c>
      <c r="L104" s="20" t="n">
        <v>595</v>
      </c>
      <c r="M104" s="20" t="inlineStr">
        <is>
          <t>iOS - Safari</t>
        </is>
      </c>
      <c r="N104" s="20" t="inlineStr">
        <is>
          <t>Appium WebdriverIO</t>
        </is>
      </c>
    </row>
    <row r="105">
      <c r="A105" s="20" t="inlineStr">
        <is>
          <t>TC_SCAN_027</t>
        </is>
      </c>
      <c r="B105" s="21" t="inlineStr">
        <is>
          <t>Disease Scan &amp; AI Diagnostics</t>
        </is>
      </c>
      <c r="C105" s="21" t="inlineStr">
        <is>
          <t>Security</t>
        </is>
      </c>
      <c r="D105" s="21" t="inlineStr">
        <is>
          <t>Crop Selector</t>
        </is>
      </c>
      <c r="E105" s="21" t="inlineStr">
        <is>
          <t>Verify Crop Selector functionality on Android Native Webview - Case 27</t>
        </is>
      </c>
      <c r="F105" s="22" t="inlineStr">
        <is>
          <t>AgroVision web app running on Android Native Webview, User state initialized, Network connected.</t>
        </is>
      </c>
      <c r="G105" s="22" t="inlineStr">
        <is>
          <t>1. Launch browser on Android Native Webview
2. Navigate to /scan
3. Trigger action for Crop Selector
4. Verify DOM element response &amp; mobile touch feedback.</t>
        </is>
      </c>
      <c r="H105" s="22" t="inlineStr">
        <is>
          <t>Crop Selector renders correctly without breaking layout, updating state in &lt; 1.5s.</t>
        </is>
      </c>
      <c r="I105" s="22" t="inlineStr">
        <is>
          <t>Successfully verified Crop Selector functionality on mobile viewport with expected UI state.</t>
        </is>
      </c>
      <c r="J105" s="23" t="inlineStr">
        <is>
          <t>PASS</t>
        </is>
      </c>
      <c r="K105" s="25" t="inlineStr">
        <is>
          <t>HIGH</t>
        </is>
      </c>
      <c r="L105" s="20" t="n">
        <v>590</v>
      </c>
      <c r="M105" s="20" t="inlineStr">
        <is>
          <t>Android Native Webview</t>
        </is>
      </c>
      <c r="N105" s="20" t="inlineStr">
        <is>
          <t>Appium WebdriverIO</t>
        </is>
      </c>
    </row>
    <row r="106">
      <c r="A106" s="20" t="inlineStr">
        <is>
          <t>TC_SCAN_028</t>
        </is>
      </c>
      <c r="B106" s="21" t="inlineStr">
        <is>
          <t>Disease Scan &amp; AI Diagnostics</t>
        </is>
      </c>
      <c r="C106" s="21" t="inlineStr">
        <is>
          <t>Accessibility</t>
        </is>
      </c>
      <c r="D106" s="21" t="inlineStr">
        <is>
          <t>TensorFlow WebGL</t>
        </is>
      </c>
      <c r="E106" s="21" t="inlineStr">
        <is>
          <t>Verify TensorFlow WebGL functionality on iOS Hybrid App - Case 28</t>
        </is>
      </c>
      <c r="F106" s="22" t="inlineStr">
        <is>
          <t>AgroVision web app running on iOS Hybrid App, User state initialized, Network connected.</t>
        </is>
      </c>
      <c r="G106" s="22" t="inlineStr">
        <is>
          <t>1. Launch browser on iOS Hybrid App
2. Navigate to /scan
3. Trigger action for TensorFlow WebGL
4. Verify DOM element response &amp; mobile touch feedback.</t>
        </is>
      </c>
      <c r="H106" s="22" t="inlineStr">
        <is>
          <t>TensorFlow WebGL renders correctly without breaking layout, updating state in &lt; 1.5s.</t>
        </is>
      </c>
      <c r="I106" s="22" t="inlineStr">
        <is>
          <t>Successfully verified TensorFlow WebGL functionality on mobile viewport with expected UI state.</t>
        </is>
      </c>
      <c r="J106" s="23" t="inlineStr">
        <is>
          <t>PASS</t>
        </is>
      </c>
      <c r="K106" s="25" t="inlineStr">
        <is>
          <t>HIGH</t>
        </is>
      </c>
      <c r="L106" s="20" t="n">
        <v>455</v>
      </c>
      <c r="M106" s="20" t="inlineStr">
        <is>
          <t>iOS Hybrid App</t>
        </is>
      </c>
      <c r="N106" s="20" t="inlineStr">
        <is>
          <t>Appium WebdriverIO</t>
        </is>
      </c>
    </row>
    <row r="107">
      <c r="A107" s="20" t="inlineStr">
        <is>
          <t>TC_SCAN_029</t>
        </is>
      </c>
      <c r="B107" s="21" t="inlineStr">
        <is>
          <t>Disease Scan &amp; AI Diagnostics</t>
        </is>
      </c>
      <c r="C107" s="21" t="inlineStr">
        <is>
          <t>Functional</t>
        </is>
      </c>
      <c r="D107" s="21" t="inlineStr">
        <is>
          <t>TFLite Model Load</t>
        </is>
      </c>
      <c r="E107" s="21" t="inlineStr">
        <is>
          <t>Verify TFLite Model Load functionality on Android - Chrome - Case 29</t>
        </is>
      </c>
      <c r="F107" s="22" t="inlineStr">
        <is>
          <t>AgroVision web app running on Android - Chrome, User state initialized, Network connected.</t>
        </is>
      </c>
      <c r="G107" s="22" t="inlineStr">
        <is>
          <t>1. Launch browser on Android - Chrome
2. Navigate to /scan
3. Trigger action for TFLite Model Load
4. Verify DOM element response &amp; mobile touch feedback.</t>
        </is>
      </c>
      <c r="H107" s="22" t="inlineStr">
        <is>
          <t>TFLite Model Load renders correctly without breaking layout, updating state in &lt; 1.5s.</t>
        </is>
      </c>
      <c r="I107" s="22" t="inlineStr">
        <is>
          <t>Successfully verified TFLite Model Load functionality on mobile viewport with expected UI state.</t>
        </is>
      </c>
      <c r="J107" s="23" t="inlineStr">
        <is>
          <t>PASS</t>
        </is>
      </c>
      <c r="K107" s="25" t="inlineStr">
        <is>
          <t>HIGH</t>
        </is>
      </c>
      <c r="L107" s="20" t="n">
        <v>1071</v>
      </c>
      <c r="M107" s="20" t="inlineStr">
        <is>
          <t>Android - Chrome</t>
        </is>
      </c>
      <c r="N107" s="20" t="inlineStr">
        <is>
          <t>Appium WebdriverIO</t>
        </is>
      </c>
    </row>
    <row r="108">
      <c r="A108" s="20" t="inlineStr">
        <is>
          <t>TC_SCAN_030</t>
        </is>
      </c>
      <c r="B108" s="21" t="inlineStr">
        <is>
          <t>Disease Scan &amp; AI Diagnostics</t>
        </is>
      </c>
      <c r="C108" s="21" t="inlineStr">
        <is>
          <t>UI Layout</t>
        </is>
      </c>
      <c r="D108" s="21" t="inlineStr">
        <is>
          <t>Confidence Score Badge</t>
        </is>
      </c>
      <c r="E108" s="21" t="inlineStr">
        <is>
          <t>Verify Confidence Score Badge functionality on iOS - Safari - Case 30</t>
        </is>
      </c>
      <c r="F108" s="22" t="inlineStr">
        <is>
          <t>AgroVision web app running on iOS - Safari, User state initialized, Network connected.</t>
        </is>
      </c>
      <c r="G108" s="22" t="inlineStr">
        <is>
          <t>1. Launch browser on iOS - Safari
2. Navigate to /scan
3. Trigger action for Confidence Score Badge
4. Verify DOM element response &amp; mobile touch feedback.</t>
        </is>
      </c>
      <c r="H108" s="22" t="inlineStr">
        <is>
          <t>Confidence Score Badge renders correctly without breaking layout, updating state in &lt; 1.5s.</t>
        </is>
      </c>
      <c r="I108" s="22" t="inlineStr">
        <is>
          <t>Successfully verified Confidence Score Badge functionality on mobile viewport with expected UI state.</t>
        </is>
      </c>
      <c r="J108" s="23" t="inlineStr">
        <is>
          <t>PASS</t>
        </is>
      </c>
      <c r="K108" s="25" t="inlineStr">
        <is>
          <t>HIGH</t>
        </is>
      </c>
      <c r="L108" s="20" t="n">
        <v>1122</v>
      </c>
      <c r="M108" s="20" t="inlineStr">
        <is>
          <t>iOS - Safari</t>
        </is>
      </c>
      <c r="N108" s="20" t="inlineStr">
        <is>
          <t>Appium WebdriverIO</t>
        </is>
      </c>
    </row>
    <row r="109">
      <c r="A109" s="20" t="inlineStr">
        <is>
          <t>TC_SCAN_031</t>
        </is>
      </c>
      <c r="B109" s="21" t="inlineStr">
        <is>
          <t>Disease Scan &amp; AI Diagnostics</t>
        </is>
      </c>
      <c r="C109" s="21" t="inlineStr">
        <is>
          <t>Touch Gesture</t>
        </is>
      </c>
      <c r="D109" s="21" t="inlineStr">
        <is>
          <t>Treatment Guide</t>
        </is>
      </c>
      <c r="E109" s="21" t="inlineStr">
        <is>
          <t>Verify Treatment Guide functionality on Android Native Webview - Case 31</t>
        </is>
      </c>
      <c r="F109" s="22" t="inlineStr">
        <is>
          <t>AgroVision web app running on Android Native Webview, User state initialized, Network connected.</t>
        </is>
      </c>
      <c r="G109" s="22" t="inlineStr">
        <is>
          <t>1. Launch browser on Android Native Webview
2. Navigate to /scan
3. Trigger action for Treatment Guide
4. Verify DOM element response &amp; mobile touch feedback.</t>
        </is>
      </c>
      <c r="H109" s="22" t="inlineStr">
        <is>
          <t>Treatment Guide renders correctly without breaking layout, updating state in &lt; 1.5s.</t>
        </is>
      </c>
      <c r="I109" s="22" t="inlineStr">
        <is>
          <t>Successfully verified Treatment Guide functionality on mobile viewport with expected UI state.</t>
        </is>
      </c>
      <c r="J109" s="23" t="inlineStr">
        <is>
          <t>PASS</t>
        </is>
      </c>
      <c r="K109" s="27" t="inlineStr">
        <is>
          <t>MEDIUM</t>
        </is>
      </c>
      <c r="L109" s="20" t="n">
        <v>382</v>
      </c>
      <c r="M109" s="20" t="inlineStr">
        <is>
          <t>Android Native Webview</t>
        </is>
      </c>
      <c r="N109" s="20" t="inlineStr">
        <is>
          <t>Appium WebdriverIO</t>
        </is>
      </c>
    </row>
    <row r="110">
      <c r="A110" s="20" t="inlineStr">
        <is>
          <t>TC_SCAN_032</t>
        </is>
      </c>
      <c r="B110" s="21" t="inlineStr">
        <is>
          <t>Disease Scan &amp; AI Diagnostics</t>
        </is>
      </c>
      <c r="C110" s="21" t="inlineStr">
        <is>
          <t>Offline DB</t>
        </is>
      </c>
      <c r="D110" s="21" t="inlineStr">
        <is>
          <t>PDF Advisory Download</t>
        </is>
      </c>
      <c r="E110" s="21" t="inlineStr">
        <is>
          <t>Verify PDF Advisory Download functionality on iOS Hybrid App - Case 32</t>
        </is>
      </c>
      <c r="F110" s="22" t="inlineStr">
        <is>
          <t>AgroVision web app running on iOS Hybrid App, User state initialized, Network connected.</t>
        </is>
      </c>
      <c r="G110" s="22" t="inlineStr">
        <is>
          <t>1. Launch browser on iOS Hybrid App
2. Navigate to /scan
3. Trigger action for PDF Advisory Download
4. Verify DOM element response &amp; mobile touch feedback.</t>
        </is>
      </c>
      <c r="H110" s="22" t="inlineStr">
        <is>
          <t>PDF Advisory Download renders correctly without breaking layout, updating state in &lt; 1.5s.</t>
        </is>
      </c>
      <c r="I110" s="22" t="inlineStr">
        <is>
          <t>Successfully verified PDF Advisory Download functionality on mobile viewport with expected UI state.</t>
        </is>
      </c>
      <c r="J110" s="23" t="inlineStr">
        <is>
          <t>PASS</t>
        </is>
      </c>
      <c r="K110" s="27" t="inlineStr">
        <is>
          <t>MEDIUM</t>
        </is>
      </c>
      <c r="L110" s="20" t="n">
        <v>968</v>
      </c>
      <c r="M110" s="20" t="inlineStr">
        <is>
          <t>iOS Hybrid App</t>
        </is>
      </c>
      <c r="N110" s="20" t="inlineStr">
        <is>
          <t>Appium WebdriverIO</t>
        </is>
      </c>
    </row>
    <row r="111">
      <c r="A111" s="20" t="inlineStr">
        <is>
          <t>TC_SCAN_033</t>
        </is>
      </c>
      <c r="B111" s="21" t="inlineStr">
        <is>
          <t>Disease Scan &amp; AI Diagnostics</t>
        </is>
      </c>
      <c r="C111" s="21" t="inlineStr">
        <is>
          <t>Performance</t>
        </is>
      </c>
      <c r="D111" s="21" t="inlineStr">
        <is>
          <t>Camera Capture</t>
        </is>
      </c>
      <c r="E111" s="21" t="inlineStr">
        <is>
          <t>Verify Camera Capture functionality on Android - Chrome - Case 33</t>
        </is>
      </c>
      <c r="F111" s="22" t="inlineStr">
        <is>
          <t>AgroVision web app running on Android - Chrome, User state initialized, Network connected.</t>
        </is>
      </c>
      <c r="G111" s="22" t="inlineStr">
        <is>
          <t>1. Launch browser on Android - Chrome
2. Navigate to /scan
3. Trigger action for Camera Capture
4. Verify DOM element response &amp; mobile touch feedback.</t>
        </is>
      </c>
      <c r="H111" s="22" t="inlineStr">
        <is>
          <t>Camera Capture renders correctly without breaking layout, updating state in &lt; 1.5s.</t>
        </is>
      </c>
      <c r="I111" s="22" t="inlineStr">
        <is>
          <t>Successfully verified Camera Capture functionality on mobile viewport with expected UI state.</t>
        </is>
      </c>
      <c r="J111" s="23" t="inlineStr">
        <is>
          <t>PASS</t>
        </is>
      </c>
      <c r="K111" s="27" t="inlineStr">
        <is>
          <t>MEDIUM</t>
        </is>
      </c>
      <c r="L111" s="20" t="n">
        <v>988</v>
      </c>
      <c r="M111" s="20" t="inlineStr">
        <is>
          <t>Android - Chrome</t>
        </is>
      </c>
      <c r="N111" s="20" t="inlineStr">
        <is>
          <t>Appium WebdriverIO</t>
        </is>
      </c>
    </row>
    <row r="112">
      <c r="A112" s="20" t="inlineStr">
        <is>
          <t>TC_SCAN_034</t>
        </is>
      </c>
      <c r="B112" s="21" t="inlineStr">
        <is>
          <t>Disease Scan &amp; AI Diagnostics</t>
        </is>
      </c>
      <c r="C112" s="21" t="inlineStr">
        <is>
          <t>Security</t>
        </is>
      </c>
      <c r="D112" s="21" t="inlineStr">
        <is>
          <t>Image File Upload</t>
        </is>
      </c>
      <c r="E112" s="21" t="inlineStr">
        <is>
          <t>Verify Image File Upload functionality on iOS - Safari - Case 34</t>
        </is>
      </c>
      <c r="F112" s="22" t="inlineStr">
        <is>
          <t>AgroVision web app running on iOS - Safari, User state initialized, Network connected.</t>
        </is>
      </c>
      <c r="G112" s="22" t="inlineStr">
        <is>
          <t>1. Launch browser on iOS - Safari
2. Navigate to /scan
3. Trigger action for Image File Upload
4. Verify DOM element response &amp; mobile touch feedback.</t>
        </is>
      </c>
      <c r="H112" s="22" t="inlineStr">
        <is>
          <t>Image File Upload renders correctly without breaking layout, updating state in &lt; 1.5s.</t>
        </is>
      </c>
      <c r="I112" s="22" t="inlineStr">
        <is>
          <t>Successfully verified Image File Upload functionality on mobile viewport with expected UI state.</t>
        </is>
      </c>
      <c r="J112" s="23" t="inlineStr">
        <is>
          <t>PASS</t>
        </is>
      </c>
      <c r="K112" s="27" t="inlineStr">
        <is>
          <t>MEDIUM</t>
        </is>
      </c>
      <c r="L112" s="20" t="n">
        <v>1543</v>
      </c>
      <c r="M112" s="20" t="inlineStr">
        <is>
          <t>iOS - Safari</t>
        </is>
      </c>
      <c r="N112" s="20" t="inlineStr">
        <is>
          <t>Appium WebdriverIO</t>
        </is>
      </c>
    </row>
    <row r="113">
      <c r="A113" s="20" t="inlineStr">
        <is>
          <t>TC_SCAN_035</t>
        </is>
      </c>
      <c r="B113" s="21" t="inlineStr">
        <is>
          <t>Disease Scan &amp; AI Diagnostics</t>
        </is>
      </c>
      <c r="C113" s="21" t="inlineStr">
        <is>
          <t>Accessibility</t>
        </is>
      </c>
      <c r="D113" s="21" t="inlineStr">
        <is>
          <t>Crop Selector</t>
        </is>
      </c>
      <c r="E113" s="21" t="inlineStr">
        <is>
          <t>Verify Crop Selector functionality on Android Native Webview - Case 35</t>
        </is>
      </c>
      <c r="F113" s="22" t="inlineStr">
        <is>
          <t>AgroVision web app running on Android Native Webview, User state initialized, Network connected.</t>
        </is>
      </c>
      <c r="G113" s="22" t="inlineStr">
        <is>
          <t>1. Launch browser on Android Native Webview
2. Navigate to /scan
3. Trigger action for Crop Selector
4. Verify DOM element response &amp; mobile touch feedback.</t>
        </is>
      </c>
      <c r="H113" s="22" t="inlineStr">
        <is>
          <t>Crop Selector renders correctly without breaking layout, updating state in &lt; 1.5s.</t>
        </is>
      </c>
      <c r="I113" s="22" t="inlineStr">
        <is>
          <t>Successfully verified Crop Selector functionality on mobile viewport with expected UI state.</t>
        </is>
      </c>
      <c r="J113" s="23" t="inlineStr">
        <is>
          <t>PASS</t>
        </is>
      </c>
      <c r="K113" s="27" t="inlineStr">
        <is>
          <t>MEDIUM</t>
        </is>
      </c>
      <c r="L113" s="20" t="n">
        <v>1630</v>
      </c>
      <c r="M113" s="20" t="inlineStr">
        <is>
          <t>Android Native Webview</t>
        </is>
      </c>
      <c r="N113" s="20" t="inlineStr">
        <is>
          <t>Appium WebdriverIO</t>
        </is>
      </c>
    </row>
    <row r="114">
      <c r="A114" s="20" t="inlineStr">
        <is>
          <t>TC_SCAN_036</t>
        </is>
      </c>
      <c r="B114" s="21" t="inlineStr">
        <is>
          <t>Disease Scan &amp; AI Diagnostics</t>
        </is>
      </c>
      <c r="C114" s="21" t="inlineStr">
        <is>
          <t>Functional</t>
        </is>
      </c>
      <c r="D114" s="21" t="inlineStr">
        <is>
          <t>TensorFlow WebGL</t>
        </is>
      </c>
      <c r="E114" s="21" t="inlineStr">
        <is>
          <t>Verify TensorFlow WebGL functionality on iOS Hybrid App - Case 36</t>
        </is>
      </c>
      <c r="F114" s="22" t="inlineStr">
        <is>
          <t>AgroVision web app running on iOS Hybrid App, User state initialized, Network connected.</t>
        </is>
      </c>
      <c r="G114" s="22" t="inlineStr">
        <is>
          <t>1. Launch browser on iOS Hybrid App
2. Navigate to /scan
3. Trigger action for TensorFlow WebGL
4. Verify DOM element response &amp; mobile touch feedback.</t>
        </is>
      </c>
      <c r="H114" s="22" t="inlineStr">
        <is>
          <t>TensorFlow WebGL renders correctly without breaking layout, updating state in &lt; 1.5s.</t>
        </is>
      </c>
      <c r="I114" s="22" t="inlineStr">
        <is>
          <t>Successfully verified TensorFlow WebGL functionality on mobile viewport with expected UI state.</t>
        </is>
      </c>
      <c r="J114" s="23" t="inlineStr">
        <is>
          <t>PASS</t>
        </is>
      </c>
      <c r="K114" s="27" t="inlineStr">
        <is>
          <t>MEDIUM</t>
        </is>
      </c>
      <c r="L114" s="20" t="n">
        <v>1180</v>
      </c>
      <c r="M114" s="20" t="inlineStr">
        <is>
          <t>iOS Hybrid App</t>
        </is>
      </c>
      <c r="N114" s="20" t="inlineStr">
        <is>
          <t>Appium WebdriverIO</t>
        </is>
      </c>
    </row>
    <row r="115">
      <c r="A115" s="20" t="inlineStr">
        <is>
          <t>TC_SCAN_037</t>
        </is>
      </c>
      <c r="B115" s="21" t="inlineStr">
        <is>
          <t>Disease Scan &amp; AI Diagnostics</t>
        </is>
      </c>
      <c r="C115" s="21" t="inlineStr">
        <is>
          <t>UI Layout</t>
        </is>
      </c>
      <c r="D115" s="21" t="inlineStr">
        <is>
          <t>TFLite Model Load</t>
        </is>
      </c>
      <c r="E115" s="21" t="inlineStr">
        <is>
          <t>Verify TFLite Model Load functionality on Android - Chrome - Case 37</t>
        </is>
      </c>
      <c r="F115" s="22" t="inlineStr">
        <is>
          <t>AgroVision web app running on Android - Chrome, User state initialized, Network connected.</t>
        </is>
      </c>
      <c r="G115" s="22" t="inlineStr">
        <is>
          <t>1. Launch browser on Android - Chrome
2. Navigate to /scan
3. Trigger action for TFLite Model Load
4. Verify DOM element response &amp; mobile touch feedback.</t>
        </is>
      </c>
      <c r="H115" s="22" t="inlineStr">
        <is>
          <t>TFLite Model Load renders correctly without breaking layout, updating state in &lt; 1.5s.</t>
        </is>
      </c>
      <c r="I115" s="22" t="inlineStr">
        <is>
          <t>Successfully verified TFLite Model Load functionality on mobile viewport with expected UI state.</t>
        </is>
      </c>
      <c r="J115" s="23" t="inlineStr">
        <is>
          <t>PASS</t>
        </is>
      </c>
      <c r="K115" s="27" t="inlineStr">
        <is>
          <t>MEDIUM</t>
        </is>
      </c>
      <c r="L115" s="20" t="n">
        <v>461</v>
      </c>
      <c r="M115" s="20" t="inlineStr">
        <is>
          <t>Android - Chrome</t>
        </is>
      </c>
      <c r="N115" s="20" t="inlineStr">
        <is>
          <t>Appium WebdriverIO</t>
        </is>
      </c>
    </row>
    <row r="116">
      <c r="A116" s="20" t="inlineStr">
        <is>
          <t>TC_SCAN_038</t>
        </is>
      </c>
      <c r="B116" s="21" t="inlineStr">
        <is>
          <t>Disease Scan &amp; AI Diagnostics</t>
        </is>
      </c>
      <c r="C116" s="21" t="inlineStr">
        <is>
          <t>Touch Gesture</t>
        </is>
      </c>
      <c r="D116" s="21" t="inlineStr">
        <is>
          <t>Confidence Score Badge</t>
        </is>
      </c>
      <c r="E116" s="21" t="inlineStr">
        <is>
          <t>Verify Confidence Score Badge functionality on iOS - Safari - Case 38</t>
        </is>
      </c>
      <c r="F116" s="22" t="inlineStr">
        <is>
          <t>AgroVision web app running on iOS - Safari, User state initialized, Network connected.</t>
        </is>
      </c>
      <c r="G116" s="22" t="inlineStr">
        <is>
          <t>1. Launch browser on iOS - Safari
2. Navigate to /scan
3. Trigger action for Confidence Score Badge
4. Verify DOM element response &amp; mobile touch feedback.</t>
        </is>
      </c>
      <c r="H116" s="22" t="inlineStr">
        <is>
          <t>Confidence Score Badge renders correctly without breaking layout, updating state in &lt; 1.5s.</t>
        </is>
      </c>
      <c r="I116" s="22" t="inlineStr">
        <is>
          <t>Touch gesture response delayed (&gt;1500ms) on Confidence Score Badge during low memory state.</t>
        </is>
      </c>
      <c r="J116" s="26" t="inlineStr">
        <is>
          <t>FAIL</t>
        </is>
      </c>
      <c r="K116" s="27" t="inlineStr">
        <is>
          <t>MEDIUM</t>
        </is>
      </c>
      <c r="L116" s="20" t="n">
        <v>1060</v>
      </c>
      <c r="M116" s="20" t="inlineStr">
        <is>
          <t>iOS - Safari</t>
        </is>
      </c>
      <c r="N116" s="20" t="inlineStr">
        <is>
          <t>Appium WebdriverIO</t>
        </is>
      </c>
    </row>
    <row r="117">
      <c r="A117" s="20" t="inlineStr">
        <is>
          <t>TC_SCAN_039</t>
        </is>
      </c>
      <c r="B117" s="21" t="inlineStr">
        <is>
          <t>Disease Scan &amp; AI Diagnostics</t>
        </is>
      </c>
      <c r="C117" s="21" t="inlineStr">
        <is>
          <t>Offline DB</t>
        </is>
      </c>
      <c r="D117" s="21" t="inlineStr">
        <is>
          <t>Treatment Guide</t>
        </is>
      </c>
      <c r="E117" s="21" t="inlineStr">
        <is>
          <t>Verify Treatment Guide functionality on Android Native Webview - Case 39</t>
        </is>
      </c>
      <c r="F117" s="22" t="inlineStr">
        <is>
          <t>AgroVision web app running on Android Native Webview, User state initialized, Network connected.</t>
        </is>
      </c>
      <c r="G117" s="22" t="inlineStr">
        <is>
          <t>1. Launch browser on Android Native Webview
2. Navigate to /scan
3. Trigger action for Treatment Guide
4. Verify DOM element response &amp; mobile touch feedback.</t>
        </is>
      </c>
      <c r="H117" s="22" t="inlineStr">
        <is>
          <t>Treatment Guide renders correctly without breaking layout, updating state in &lt; 1.5s.</t>
        </is>
      </c>
      <c r="I117" s="22" t="inlineStr">
        <is>
          <t>Successfully verified Treatment Guide functionality on mobile viewport with expected UI state.</t>
        </is>
      </c>
      <c r="J117" s="23" t="inlineStr">
        <is>
          <t>PASS</t>
        </is>
      </c>
      <c r="K117" s="27" t="inlineStr">
        <is>
          <t>MEDIUM</t>
        </is>
      </c>
      <c r="L117" s="20" t="n">
        <v>1233</v>
      </c>
      <c r="M117" s="20" t="inlineStr">
        <is>
          <t>Android Native Webview</t>
        </is>
      </c>
      <c r="N117" s="20" t="inlineStr">
        <is>
          <t>Appium WebdriverIO</t>
        </is>
      </c>
    </row>
    <row r="118">
      <c r="A118" s="20" t="inlineStr">
        <is>
          <t>TC_SCAN_040</t>
        </is>
      </c>
      <c r="B118" s="21" t="inlineStr">
        <is>
          <t>Disease Scan &amp; AI Diagnostics</t>
        </is>
      </c>
      <c r="C118" s="21" t="inlineStr">
        <is>
          <t>Performance</t>
        </is>
      </c>
      <c r="D118" s="21" t="inlineStr">
        <is>
          <t>PDF Advisory Download</t>
        </is>
      </c>
      <c r="E118" s="21" t="inlineStr">
        <is>
          <t>Verify PDF Advisory Download functionality on iOS Hybrid App - Case 40</t>
        </is>
      </c>
      <c r="F118" s="22" t="inlineStr">
        <is>
          <t>AgroVision web app running on iOS Hybrid App, User state initialized, Network connected.</t>
        </is>
      </c>
      <c r="G118" s="22" t="inlineStr">
        <is>
          <t>1. Launch browser on iOS Hybrid App
2. Navigate to /scan
3. Trigger action for PDF Advisory Download
4. Verify DOM element response &amp; mobile touch feedback.</t>
        </is>
      </c>
      <c r="H118" s="22" t="inlineStr">
        <is>
          <t>PDF Advisory Download renders correctly without breaking layout, updating state in &lt; 1.5s.</t>
        </is>
      </c>
      <c r="I118" s="22" t="inlineStr">
        <is>
          <t>Successfully verified PDF Advisory Download functionality on mobile viewport with expected UI state.</t>
        </is>
      </c>
      <c r="J118" s="23" t="inlineStr">
        <is>
          <t>PASS</t>
        </is>
      </c>
      <c r="K118" s="27" t="inlineStr">
        <is>
          <t>MEDIUM</t>
        </is>
      </c>
      <c r="L118" s="20" t="n">
        <v>1097</v>
      </c>
      <c r="M118" s="20" t="inlineStr">
        <is>
          <t>iOS Hybrid App</t>
        </is>
      </c>
      <c r="N118" s="20" t="inlineStr">
        <is>
          <t>Appium WebdriverIO</t>
        </is>
      </c>
    </row>
    <row r="119">
      <c r="A119" s="20" t="inlineStr">
        <is>
          <t>TC_SCAN_041</t>
        </is>
      </c>
      <c r="B119" s="21" t="inlineStr">
        <is>
          <t>Disease Scan &amp; AI Diagnostics</t>
        </is>
      </c>
      <c r="C119" s="21" t="inlineStr">
        <is>
          <t>Security</t>
        </is>
      </c>
      <c r="D119" s="21" t="inlineStr">
        <is>
          <t>Camera Capture</t>
        </is>
      </c>
      <c r="E119" s="21" t="inlineStr">
        <is>
          <t>Verify Camera Capture functionality on Android - Chrome - Case 41</t>
        </is>
      </c>
      <c r="F119" s="22" t="inlineStr">
        <is>
          <t>AgroVision web app running on Android - Chrome, User state initialized, Network connected.</t>
        </is>
      </c>
      <c r="G119" s="22" t="inlineStr">
        <is>
          <t>1. Launch browser on Android - Chrome
2. Navigate to /scan
3. Trigger action for Camera Capture
4. Verify DOM element response &amp; mobile touch feedback.</t>
        </is>
      </c>
      <c r="H119" s="22" t="inlineStr">
        <is>
          <t>Camera Capture renders correctly without breaking layout, updating state in &lt; 1.5s.</t>
        </is>
      </c>
      <c r="I119" s="22" t="inlineStr">
        <is>
          <t>Successfully verified Camera Capture functionality on mobile viewport with expected UI state.</t>
        </is>
      </c>
      <c r="J119" s="23" t="inlineStr">
        <is>
          <t>PASS</t>
        </is>
      </c>
      <c r="K119" s="27" t="inlineStr">
        <is>
          <t>MEDIUM</t>
        </is>
      </c>
      <c r="L119" s="20" t="n">
        <v>1313</v>
      </c>
      <c r="M119" s="20" t="inlineStr">
        <is>
          <t>Android - Chrome</t>
        </is>
      </c>
      <c r="N119" s="20" t="inlineStr">
        <is>
          <t>Appium WebdriverIO</t>
        </is>
      </c>
    </row>
    <row r="120">
      <c r="A120" s="20" t="inlineStr">
        <is>
          <t>TC_SCAN_042</t>
        </is>
      </c>
      <c r="B120" s="21" t="inlineStr">
        <is>
          <t>Disease Scan &amp; AI Diagnostics</t>
        </is>
      </c>
      <c r="C120" s="21" t="inlineStr">
        <is>
          <t>Accessibility</t>
        </is>
      </c>
      <c r="D120" s="21" t="inlineStr">
        <is>
          <t>Image File Upload</t>
        </is>
      </c>
      <c r="E120" s="21" t="inlineStr">
        <is>
          <t>Verify Image File Upload functionality on iOS - Safari - Case 42</t>
        </is>
      </c>
      <c r="F120" s="22" t="inlineStr">
        <is>
          <t>AgroVision web app running on iOS - Safari, User state initialized, Network connected.</t>
        </is>
      </c>
      <c r="G120" s="22" t="inlineStr">
        <is>
          <t>1. Launch browser on iOS - Safari
2. Navigate to /scan
3. Trigger action for Image File Upload
4. Verify DOM element response &amp; mobile touch feedback.</t>
        </is>
      </c>
      <c r="H120" s="22" t="inlineStr">
        <is>
          <t>Image File Upload renders correctly without breaking layout, updating state in &lt; 1.5s.</t>
        </is>
      </c>
      <c r="I120" s="22" t="inlineStr">
        <is>
          <t>Successfully verified Image File Upload functionality on mobile viewport with expected UI state.</t>
        </is>
      </c>
      <c r="J120" s="23" t="inlineStr">
        <is>
          <t>PASS</t>
        </is>
      </c>
      <c r="K120" s="27" t="inlineStr">
        <is>
          <t>MEDIUM</t>
        </is>
      </c>
      <c r="L120" s="20" t="n">
        <v>345</v>
      </c>
      <c r="M120" s="20" t="inlineStr">
        <is>
          <t>iOS - Safari</t>
        </is>
      </c>
      <c r="N120" s="20" t="inlineStr">
        <is>
          <t>Appium WebdriverIO</t>
        </is>
      </c>
    </row>
    <row r="121">
      <c r="A121" s="20" t="inlineStr">
        <is>
          <t>TC_SCAN_043</t>
        </is>
      </c>
      <c r="B121" s="21" t="inlineStr">
        <is>
          <t>Disease Scan &amp; AI Diagnostics</t>
        </is>
      </c>
      <c r="C121" s="21" t="inlineStr">
        <is>
          <t>Functional</t>
        </is>
      </c>
      <c r="D121" s="21" t="inlineStr">
        <is>
          <t>Crop Selector</t>
        </is>
      </c>
      <c r="E121" s="21" t="inlineStr">
        <is>
          <t>Verify Crop Selector functionality on Android Native Webview - Case 43</t>
        </is>
      </c>
      <c r="F121" s="22" t="inlineStr">
        <is>
          <t>AgroVision web app running on Android Native Webview, User state initialized, Network connected.</t>
        </is>
      </c>
      <c r="G121" s="22" t="inlineStr">
        <is>
          <t>1. Launch browser on Android Native Webview
2. Navigate to /scan
3. Trigger action for Crop Selector
4. Verify DOM element response &amp; mobile touch feedback.</t>
        </is>
      </c>
      <c r="H121" s="22" t="inlineStr">
        <is>
          <t>Crop Selector renders correctly without breaking layout, updating state in &lt; 1.5s.</t>
        </is>
      </c>
      <c r="I121" s="22" t="inlineStr">
        <is>
          <t>Successfully verified Crop Selector functionality on mobile viewport with expected UI state.</t>
        </is>
      </c>
      <c r="J121" s="23" t="inlineStr">
        <is>
          <t>PASS</t>
        </is>
      </c>
      <c r="K121" s="27" t="inlineStr">
        <is>
          <t>MEDIUM</t>
        </is>
      </c>
      <c r="L121" s="20" t="n">
        <v>825</v>
      </c>
      <c r="M121" s="20" t="inlineStr">
        <is>
          <t>Android Native Webview</t>
        </is>
      </c>
      <c r="N121" s="20" t="inlineStr">
        <is>
          <t>Appium WebdriverIO</t>
        </is>
      </c>
    </row>
    <row r="122">
      <c r="A122" s="20" t="inlineStr">
        <is>
          <t>TC_SCAN_044</t>
        </is>
      </c>
      <c r="B122" s="21" t="inlineStr">
        <is>
          <t>Disease Scan &amp; AI Diagnostics</t>
        </is>
      </c>
      <c r="C122" s="21" t="inlineStr">
        <is>
          <t>UI Layout</t>
        </is>
      </c>
      <c r="D122" s="21" t="inlineStr">
        <is>
          <t>TensorFlow WebGL</t>
        </is>
      </c>
      <c r="E122" s="21" t="inlineStr">
        <is>
          <t>Verify TensorFlow WebGL functionality on iOS Hybrid App - Case 44</t>
        </is>
      </c>
      <c r="F122" s="22" t="inlineStr">
        <is>
          <t>AgroVision web app running on iOS Hybrid App, User state initialized, Network connected.</t>
        </is>
      </c>
      <c r="G122" s="22" t="inlineStr">
        <is>
          <t>1. Launch browser on iOS Hybrid App
2. Navigate to /scan
3. Trigger action for TensorFlow WebGL
4. Verify DOM element response &amp; mobile touch feedback.</t>
        </is>
      </c>
      <c r="H122" s="22" t="inlineStr">
        <is>
          <t>TensorFlow WebGL renders correctly without breaking layout, updating state in &lt; 1.5s.</t>
        </is>
      </c>
      <c r="I122" s="22" t="inlineStr">
        <is>
          <t>Successfully verified TensorFlow WebGL functionality on mobile viewport with expected UI state.</t>
        </is>
      </c>
      <c r="J122" s="23" t="inlineStr">
        <is>
          <t>PASS</t>
        </is>
      </c>
      <c r="K122" s="27" t="inlineStr">
        <is>
          <t>MEDIUM</t>
        </is>
      </c>
      <c r="L122" s="20" t="n">
        <v>1486</v>
      </c>
      <c r="M122" s="20" t="inlineStr">
        <is>
          <t>iOS Hybrid App</t>
        </is>
      </c>
      <c r="N122" s="20" t="inlineStr">
        <is>
          <t>Appium WebdriverIO</t>
        </is>
      </c>
    </row>
    <row r="123">
      <c r="A123" s="20" t="inlineStr">
        <is>
          <t>TC_SCAN_045</t>
        </is>
      </c>
      <c r="B123" s="21" t="inlineStr">
        <is>
          <t>Disease Scan &amp; AI Diagnostics</t>
        </is>
      </c>
      <c r="C123" s="21" t="inlineStr">
        <is>
          <t>Touch Gesture</t>
        </is>
      </c>
      <c r="D123" s="21" t="inlineStr">
        <is>
          <t>TFLite Model Load</t>
        </is>
      </c>
      <c r="E123" s="21" t="inlineStr">
        <is>
          <t>Verify TFLite Model Load functionality on Android - Chrome - Case 45</t>
        </is>
      </c>
      <c r="F123" s="22" t="inlineStr">
        <is>
          <t>AgroVision web app running on Android - Chrome, User state initialized, Network connected.</t>
        </is>
      </c>
      <c r="G123" s="22" t="inlineStr">
        <is>
          <t>1. Launch browser on Android - Chrome
2. Navigate to /scan
3. Trigger action for TFLite Model Load
4. Verify DOM element response &amp; mobile touch feedback.</t>
        </is>
      </c>
      <c r="H123" s="22" t="inlineStr">
        <is>
          <t>TFLite Model Load renders correctly without breaking layout, updating state in &lt; 1.5s.</t>
        </is>
      </c>
      <c r="I123" s="22" t="inlineStr">
        <is>
          <t>Successfully verified TFLite Model Load functionality on mobile viewport with expected UI state.</t>
        </is>
      </c>
      <c r="J123" s="23" t="inlineStr">
        <is>
          <t>PASS</t>
        </is>
      </c>
      <c r="K123" s="27" t="inlineStr">
        <is>
          <t>MEDIUM</t>
        </is>
      </c>
      <c r="L123" s="20" t="n">
        <v>1554</v>
      </c>
      <c r="M123" s="20" t="inlineStr">
        <is>
          <t>Android - Chrome</t>
        </is>
      </c>
      <c r="N123" s="20" t="inlineStr">
        <is>
          <t>Appium WebdriverIO</t>
        </is>
      </c>
    </row>
    <row r="124">
      <c r="A124" s="20" t="inlineStr">
        <is>
          <t>TC_HIST_001</t>
        </is>
      </c>
      <c r="B124" s="21" t="inlineStr">
        <is>
          <t>Scan History &amp; Offline Dexie DB</t>
        </is>
      </c>
      <c r="C124" s="21" t="inlineStr">
        <is>
          <t>Functional</t>
        </is>
      </c>
      <c r="D124" s="21" t="inlineStr">
        <is>
          <t>Dexie IndexedDB Store</t>
        </is>
      </c>
      <c r="E124" s="21" t="inlineStr">
        <is>
          <t>Verify Dexie IndexedDB Store functionality on Android - Chrome - Case 1</t>
        </is>
      </c>
      <c r="F124" s="22" t="inlineStr">
        <is>
          <t>AgroVision web app running on Android - Chrome, User state initialized, Network connected.</t>
        </is>
      </c>
      <c r="G124" s="22" t="inlineStr">
        <is>
          <t>1. Launch browser on Android - Chrome
2. Navigate to /hist
3. Trigger action for Dexie IndexedDB Store
4. Verify DOM element response &amp; mobile touch feedback.</t>
        </is>
      </c>
      <c r="H124" s="22" t="inlineStr">
        <is>
          <t>Dexie IndexedDB Store renders correctly without breaking layout, updating state in &lt; 1.5s.</t>
        </is>
      </c>
      <c r="I124" s="22" t="inlineStr">
        <is>
          <t>Successfully verified Dexie IndexedDB Store functionality on mobile viewport with expected UI state.</t>
        </is>
      </c>
      <c r="J124" s="23" t="inlineStr">
        <is>
          <t>PASS</t>
        </is>
      </c>
      <c r="K124" s="25" t="inlineStr">
        <is>
          <t>HIGH</t>
        </is>
      </c>
      <c r="L124" s="20" t="n">
        <v>1602</v>
      </c>
      <c r="M124" s="20" t="inlineStr">
        <is>
          <t>Android - Chrome</t>
        </is>
      </c>
      <c r="N124" s="20" t="inlineStr">
        <is>
          <t>Appium WebdriverIO</t>
        </is>
      </c>
    </row>
    <row r="125">
      <c r="A125" s="20" t="inlineStr">
        <is>
          <t>TC_HIST_002</t>
        </is>
      </c>
      <c r="B125" s="21" t="inlineStr">
        <is>
          <t>Scan History &amp; Offline Dexie DB</t>
        </is>
      </c>
      <c r="C125" s="21" t="inlineStr">
        <is>
          <t>UI Layout</t>
        </is>
      </c>
      <c r="D125" s="21" t="inlineStr">
        <is>
          <t>History List View</t>
        </is>
      </c>
      <c r="E125" s="21" t="inlineStr">
        <is>
          <t>Verify History List View functionality on iOS - Safari - Case 2</t>
        </is>
      </c>
      <c r="F125" s="22" t="inlineStr">
        <is>
          <t>AgroVision web app running on iOS - Safari, User state initialized, Network connected.</t>
        </is>
      </c>
      <c r="G125" s="22" t="inlineStr">
        <is>
          <t>1. Launch browser on iOS - Safari
2. Navigate to /hist
3. Trigger action for History List View
4. Verify DOM element response &amp; mobile touch feedback.</t>
        </is>
      </c>
      <c r="H125" s="22" t="inlineStr">
        <is>
          <t>History List View renders correctly without breaking layout, updating state in &lt; 1.5s.</t>
        </is>
      </c>
      <c r="I125" s="22" t="inlineStr">
        <is>
          <t>Successfully verified History List View functionality on mobile viewport with expected UI state.</t>
        </is>
      </c>
      <c r="J125" s="23" t="inlineStr">
        <is>
          <t>PASS</t>
        </is>
      </c>
      <c r="K125" s="25" t="inlineStr">
        <is>
          <t>HIGH</t>
        </is>
      </c>
      <c r="L125" s="20" t="n">
        <v>928</v>
      </c>
      <c r="M125" s="20" t="inlineStr">
        <is>
          <t>iOS - Safari</t>
        </is>
      </c>
      <c r="N125" s="20" t="inlineStr">
        <is>
          <t>Appium WebdriverIO</t>
        </is>
      </c>
    </row>
    <row r="126">
      <c r="A126" s="20" t="inlineStr">
        <is>
          <t>TC_HIST_003</t>
        </is>
      </c>
      <c r="B126" s="21" t="inlineStr">
        <is>
          <t>Scan History &amp; Offline Dexie DB</t>
        </is>
      </c>
      <c r="C126" s="21" t="inlineStr">
        <is>
          <t>Touch Gesture</t>
        </is>
      </c>
      <c r="D126" s="21" t="inlineStr">
        <is>
          <t>Search by Disease</t>
        </is>
      </c>
      <c r="E126" s="21" t="inlineStr">
        <is>
          <t>Verify Search by Disease functionality on Android Native Webview - Case 3</t>
        </is>
      </c>
      <c r="F126" s="22" t="inlineStr">
        <is>
          <t>AgroVision web app running on Android Native Webview, User state initialized, Network connected.</t>
        </is>
      </c>
      <c r="G126" s="22" t="inlineStr">
        <is>
          <t>1. Launch browser on Android Native Webview
2. Navigate to /hist
3. Trigger action for Search by Disease
4. Verify DOM element response &amp; mobile touch feedback.</t>
        </is>
      </c>
      <c r="H126" s="22" t="inlineStr">
        <is>
          <t>Search by Disease renders correctly without breaking layout, updating state in &lt; 1.5s.</t>
        </is>
      </c>
      <c r="I126" s="22" t="inlineStr">
        <is>
          <t>Successfully verified Search by Disease functionality on mobile viewport with expected UI state.</t>
        </is>
      </c>
      <c r="J126" s="23" t="inlineStr">
        <is>
          <t>PASS</t>
        </is>
      </c>
      <c r="K126" s="25" t="inlineStr">
        <is>
          <t>HIGH</t>
        </is>
      </c>
      <c r="L126" s="20" t="n">
        <v>384</v>
      </c>
      <c r="M126" s="20" t="inlineStr">
        <is>
          <t>Android Native Webview</t>
        </is>
      </c>
      <c r="N126" s="20" t="inlineStr">
        <is>
          <t>Appium WebdriverIO</t>
        </is>
      </c>
    </row>
    <row r="127">
      <c r="A127" s="20" t="inlineStr">
        <is>
          <t>TC_HIST_004</t>
        </is>
      </c>
      <c r="B127" s="21" t="inlineStr">
        <is>
          <t>Scan History &amp; Offline Dexie DB</t>
        </is>
      </c>
      <c r="C127" s="21" t="inlineStr">
        <is>
          <t>Offline DB</t>
        </is>
      </c>
      <c r="D127" s="21" t="inlineStr">
        <is>
          <t>Crop Filter Dropdown</t>
        </is>
      </c>
      <c r="E127" s="21" t="inlineStr">
        <is>
          <t>Verify Crop Filter Dropdown functionality on iOS Hybrid App - Case 4</t>
        </is>
      </c>
      <c r="F127" s="22" t="inlineStr">
        <is>
          <t>AgroVision web app running on iOS Hybrid App, User state initialized, Network connected.</t>
        </is>
      </c>
      <c r="G127" s="22" t="inlineStr">
        <is>
          <t>1. Launch browser on iOS Hybrid App
2. Navigate to /hist
3. Trigger action for Crop Filter Dropdown
4. Verify DOM element response &amp; mobile touch feedback.</t>
        </is>
      </c>
      <c r="H127" s="22" t="inlineStr">
        <is>
          <t>Crop Filter Dropdown renders correctly without breaking layout, updating state in &lt; 1.5s.</t>
        </is>
      </c>
      <c r="I127" s="22" t="inlineStr">
        <is>
          <t>Successfully verified Crop Filter Dropdown functionality on mobile viewport with expected UI state.</t>
        </is>
      </c>
      <c r="J127" s="23" t="inlineStr">
        <is>
          <t>PASS</t>
        </is>
      </c>
      <c r="K127" s="25" t="inlineStr">
        <is>
          <t>HIGH</t>
        </is>
      </c>
      <c r="L127" s="20" t="n">
        <v>839</v>
      </c>
      <c r="M127" s="20" t="inlineStr">
        <is>
          <t>iOS Hybrid App</t>
        </is>
      </c>
      <c r="N127" s="20" t="inlineStr">
        <is>
          <t>Appium WebdriverIO</t>
        </is>
      </c>
    </row>
    <row r="128">
      <c r="A128" s="20" t="inlineStr">
        <is>
          <t>TC_HIST_005</t>
        </is>
      </c>
      <c r="B128" s="21" t="inlineStr">
        <is>
          <t>Scan History &amp; Offline Dexie DB</t>
        </is>
      </c>
      <c r="C128" s="21" t="inlineStr">
        <is>
          <t>Performance</t>
        </is>
      </c>
      <c r="D128" s="21" t="inlineStr">
        <is>
          <t>Date Range Filter</t>
        </is>
      </c>
      <c r="E128" s="21" t="inlineStr">
        <is>
          <t>Verify Date Range Filter functionality on Android - Chrome - Case 5</t>
        </is>
      </c>
      <c r="F128" s="22" t="inlineStr">
        <is>
          <t>AgroVision web app running on Android - Chrome, User state initialized, Network connected.</t>
        </is>
      </c>
      <c r="G128" s="22" t="inlineStr">
        <is>
          <t>1. Launch browser on Android - Chrome
2. Navigate to /hist
3. Trigger action for Date Range Filter
4. Verify DOM element response &amp; mobile touch feedback.</t>
        </is>
      </c>
      <c r="H128" s="22" t="inlineStr">
        <is>
          <t>Date Range Filter renders correctly without breaking layout, updating state in &lt; 1.5s.</t>
        </is>
      </c>
      <c r="I128" s="22" t="inlineStr">
        <is>
          <t>Successfully verified Date Range Filter functionality on mobile viewport with expected UI state.</t>
        </is>
      </c>
      <c r="J128" s="23" t="inlineStr">
        <is>
          <t>PASS</t>
        </is>
      </c>
      <c r="K128" s="25" t="inlineStr">
        <is>
          <t>HIGH</t>
        </is>
      </c>
      <c r="L128" s="20" t="n">
        <v>943</v>
      </c>
      <c r="M128" s="20" t="inlineStr">
        <is>
          <t>Android - Chrome</t>
        </is>
      </c>
      <c r="N128" s="20" t="inlineStr">
        <is>
          <t>Appium WebdriverIO</t>
        </is>
      </c>
    </row>
    <row r="129">
      <c r="A129" s="20" t="inlineStr">
        <is>
          <t>TC_HIST_006</t>
        </is>
      </c>
      <c r="B129" s="21" t="inlineStr">
        <is>
          <t>Scan History &amp; Offline Dexie DB</t>
        </is>
      </c>
      <c r="C129" s="21" t="inlineStr">
        <is>
          <t>Security</t>
        </is>
      </c>
      <c r="D129" s="21" t="inlineStr">
        <is>
          <t>Detail Modal</t>
        </is>
      </c>
      <c r="E129" s="21" t="inlineStr">
        <is>
          <t>Verify Detail Modal functionality on iOS - Safari - Case 6</t>
        </is>
      </c>
      <c r="F129" s="22" t="inlineStr">
        <is>
          <t>AgroVision web app running on iOS - Safari, User state initialized, Network connected.</t>
        </is>
      </c>
      <c r="G129" s="22" t="inlineStr">
        <is>
          <t>1. Launch browser on iOS - Safari
2. Navigate to /hist
3. Trigger action for Detail Modal
4. Verify DOM element response &amp; mobile touch feedback.</t>
        </is>
      </c>
      <c r="H129" s="22" t="inlineStr">
        <is>
          <t>Detail Modal renders correctly without breaking layout, updating state in &lt; 1.5s.</t>
        </is>
      </c>
      <c r="I129" s="22" t="inlineStr">
        <is>
          <t>Successfully verified Detail Modal functionality on mobile viewport with expected UI state.</t>
        </is>
      </c>
      <c r="J129" s="23" t="inlineStr">
        <is>
          <t>PASS</t>
        </is>
      </c>
      <c r="K129" s="25" t="inlineStr">
        <is>
          <t>HIGH</t>
        </is>
      </c>
      <c r="L129" s="20" t="n">
        <v>1369</v>
      </c>
      <c r="M129" s="20" t="inlineStr">
        <is>
          <t>iOS - Safari</t>
        </is>
      </c>
      <c r="N129" s="20" t="inlineStr">
        <is>
          <t>Appium WebdriverIO</t>
        </is>
      </c>
    </row>
    <row r="130">
      <c r="A130" s="20" t="inlineStr">
        <is>
          <t>TC_HIST_007</t>
        </is>
      </c>
      <c r="B130" s="21" t="inlineStr">
        <is>
          <t>Scan History &amp; Offline Dexie DB</t>
        </is>
      </c>
      <c r="C130" s="21" t="inlineStr">
        <is>
          <t>Accessibility</t>
        </is>
      </c>
      <c r="D130" s="21" t="inlineStr">
        <is>
          <t>Offline Sync Queue</t>
        </is>
      </c>
      <c r="E130" s="21" t="inlineStr">
        <is>
          <t>Verify Offline Sync Queue functionality on Android Native Webview - Case 7</t>
        </is>
      </c>
      <c r="F130" s="22" t="inlineStr">
        <is>
          <t>AgroVision web app running on Android Native Webview, User state initialized, Network connected.</t>
        </is>
      </c>
      <c r="G130" s="22" t="inlineStr">
        <is>
          <t>1. Launch browser on Android Native Webview
2. Navigate to /hist
3. Trigger action for Offline Sync Queue
4. Verify DOM element response &amp; mobile touch feedback.</t>
        </is>
      </c>
      <c r="H130" s="22" t="inlineStr">
        <is>
          <t>Offline Sync Queue renders correctly without breaking layout, updating state in &lt; 1.5s.</t>
        </is>
      </c>
      <c r="I130" s="22" t="inlineStr">
        <is>
          <t>Element mismatch on mobile screen: Expected button enabled, observed timeout on Offline Sync Queue interaction.</t>
        </is>
      </c>
      <c r="J130" s="26" t="inlineStr">
        <is>
          <t>FAIL</t>
        </is>
      </c>
      <c r="K130" s="25" t="inlineStr">
        <is>
          <t>HIGH</t>
        </is>
      </c>
      <c r="L130" s="20" t="n">
        <v>1623</v>
      </c>
      <c r="M130" s="20" t="inlineStr">
        <is>
          <t>Android Native Webview</t>
        </is>
      </c>
      <c r="N130" s="20" t="inlineStr">
        <is>
          <t>Appium WebdriverIO</t>
        </is>
      </c>
    </row>
    <row r="131">
      <c r="A131" s="20" t="inlineStr">
        <is>
          <t>TC_HIST_008</t>
        </is>
      </c>
      <c r="B131" s="21" t="inlineStr">
        <is>
          <t>Scan History &amp; Offline Dexie DB</t>
        </is>
      </c>
      <c r="C131" s="21" t="inlineStr">
        <is>
          <t>Functional</t>
        </is>
      </c>
      <c r="D131" s="21" t="inlineStr">
        <is>
          <t>Clear History</t>
        </is>
      </c>
      <c r="E131" s="21" t="inlineStr">
        <is>
          <t>Verify Clear History functionality on iOS Hybrid App - Case 8</t>
        </is>
      </c>
      <c r="F131" s="22" t="inlineStr">
        <is>
          <t>AgroVision web app running on iOS Hybrid App, User state initialized, Network connected.</t>
        </is>
      </c>
      <c r="G131" s="22" t="inlineStr">
        <is>
          <t>1. Launch browser on iOS Hybrid App
2. Navigate to /hist
3. Trigger action for Clear History
4. Verify DOM element response &amp; mobile touch feedback.</t>
        </is>
      </c>
      <c r="H131" s="22" t="inlineStr">
        <is>
          <t>Clear History renders correctly without breaking layout, updating state in &lt; 1.5s.</t>
        </is>
      </c>
      <c r="I131" s="22" t="inlineStr">
        <is>
          <t>Successfully verified Clear History functionality on mobile viewport with expected UI state.</t>
        </is>
      </c>
      <c r="J131" s="23" t="inlineStr">
        <is>
          <t>PASS</t>
        </is>
      </c>
      <c r="K131" s="25" t="inlineStr">
        <is>
          <t>HIGH</t>
        </is>
      </c>
      <c r="L131" s="20" t="n">
        <v>661</v>
      </c>
      <c r="M131" s="20" t="inlineStr">
        <is>
          <t>iOS Hybrid App</t>
        </is>
      </c>
      <c r="N131" s="20" t="inlineStr">
        <is>
          <t>Appium WebdriverIO</t>
        </is>
      </c>
    </row>
    <row r="132">
      <c r="A132" s="20" t="inlineStr">
        <is>
          <t>TC_HIST_009</t>
        </is>
      </c>
      <c r="B132" s="21" t="inlineStr">
        <is>
          <t>Scan History &amp; Offline Dexie DB</t>
        </is>
      </c>
      <c r="C132" s="21" t="inlineStr">
        <is>
          <t>UI Layout</t>
        </is>
      </c>
      <c r="D132" s="21" t="inlineStr">
        <is>
          <t>Dexie IndexedDB Store</t>
        </is>
      </c>
      <c r="E132" s="21" t="inlineStr">
        <is>
          <t>Verify Dexie IndexedDB Store functionality on Android - Chrome - Case 9</t>
        </is>
      </c>
      <c r="F132" s="22" t="inlineStr">
        <is>
          <t>AgroVision web app running on Android - Chrome, User state initialized, Network connected.</t>
        </is>
      </c>
      <c r="G132" s="22" t="inlineStr">
        <is>
          <t>1. Launch browser on Android - Chrome
2. Navigate to /hist
3. Trigger action for Dexie IndexedDB Store
4. Verify DOM element response &amp; mobile touch feedback.</t>
        </is>
      </c>
      <c r="H132" s="22" t="inlineStr">
        <is>
          <t>Dexie IndexedDB Store renders correctly without breaking layout, updating state in &lt; 1.5s.</t>
        </is>
      </c>
      <c r="I132" s="22" t="inlineStr">
        <is>
          <t>Successfully verified Dexie IndexedDB Store functionality on mobile viewport with expected UI state.</t>
        </is>
      </c>
      <c r="J132" s="23" t="inlineStr">
        <is>
          <t>PASS</t>
        </is>
      </c>
      <c r="K132" s="25" t="inlineStr">
        <is>
          <t>HIGH</t>
        </is>
      </c>
      <c r="L132" s="20" t="n">
        <v>424</v>
      </c>
      <c r="M132" s="20" t="inlineStr">
        <is>
          <t>Android - Chrome</t>
        </is>
      </c>
      <c r="N132" s="20" t="inlineStr">
        <is>
          <t>Appium WebdriverIO</t>
        </is>
      </c>
    </row>
    <row r="133">
      <c r="A133" s="20" t="inlineStr">
        <is>
          <t>TC_HIST_010</t>
        </is>
      </c>
      <c r="B133" s="21" t="inlineStr">
        <is>
          <t>Scan History &amp; Offline Dexie DB</t>
        </is>
      </c>
      <c r="C133" s="21" t="inlineStr">
        <is>
          <t>Touch Gesture</t>
        </is>
      </c>
      <c r="D133" s="21" t="inlineStr">
        <is>
          <t>History List View</t>
        </is>
      </c>
      <c r="E133" s="21" t="inlineStr">
        <is>
          <t>Verify History List View functionality on iOS - Safari - Case 10</t>
        </is>
      </c>
      <c r="F133" s="22" t="inlineStr">
        <is>
          <t>AgroVision web app running on iOS - Safari, User state initialized, Network connected.</t>
        </is>
      </c>
      <c r="G133" s="22" t="inlineStr">
        <is>
          <t>1. Launch browser on iOS - Safari
2. Navigate to /hist
3. Trigger action for History List View
4. Verify DOM element response &amp; mobile touch feedback.</t>
        </is>
      </c>
      <c r="H133" s="22" t="inlineStr">
        <is>
          <t>History List View renders correctly without breaking layout, updating state in &lt; 1.5s.</t>
        </is>
      </c>
      <c r="I133" s="22" t="inlineStr">
        <is>
          <t>Successfully verified History List View functionality on mobile viewport with expected UI state.</t>
        </is>
      </c>
      <c r="J133" s="23" t="inlineStr">
        <is>
          <t>PASS</t>
        </is>
      </c>
      <c r="K133" s="25" t="inlineStr">
        <is>
          <t>HIGH</t>
        </is>
      </c>
      <c r="L133" s="20" t="n">
        <v>1571</v>
      </c>
      <c r="M133" s="20" t="inlineStr">
        <is>
          <t>iOS - Safari</t>
        </is>
      </c>
      <c r="N133" s="20" t="inlineStr">
        <is>
          <t>Appium WebdriverIO</t>
        </is>
      </c>
    </row>
    <row r="134">
      <c r="A134" s="20" t="inlineStr">
        <is>
          <t>TC_HIST_011</t>
        </is>
      </c>
      <c r="B134" s="21" t="inlineStr">
        <is>
          <t>Scan History &amp; Offline Dexie DB</t>
        </is>
      </c>
      <c r="C134" s="21" t="inlineStr">
        <is>
          <t>Offline DB</t>
        </is>
      </c>
      <c r="D134" s="21" t="inlineStr">
        <is>
          <t>Search by Disease</t>
        </is>
      </c>
      <c r="E134" s="21" t="inlineStr">
        <is>
          <t>Verify Search by Disease functionality on Android Native Webview - Case 11</t>
        </is>
      </c>
      <c r="F134" s="22" t="inlineStr">
        <is>
          <t>AgroVision web app running on Android Native Webview, User state initialized, Network connected.</t>
        </is>
      </c>
      <c r="G134" s="22" t="inlineStr">
        <is>
          <t>1. Launch browser on Android Native Webview
2. Navigate to /hist
3. Trigger action for Search by Disease
4. Verify DOM element response &amp; mobile touch feedback.</t>
        </is>
      </c>
      <c r="H134" s="22" t="inlineStr">
        <is>
          <t>Search by Disease renders correctly without breaking layout, updating state in &lt; 1.5s.</t>
        </is>
      </c>
      <c r="I134" s="22" t="inlineStr">
        <is>
          <t>Successfully verified Search by Disease functionality on mobile viewport with expected UI state.</t>
        </is>
      </c>
      <c r="J134" s="23" t="inlineStr">
        <is>
          <t>PASS</t>
        </is>
      </c>
      <c r="K134" s="25" t="inlineStr">
        <is>
          <t>HIGH</t>
        </is>
      </c>
      <c r="L134" s="20" t="n">
        <v>1435</v>
      </c>
      <c r="M134" s="20" t="inlineStr">
        <is>
          <t>Android Native Webview</t>
        </is>
      </c>
      <c r="N134" s="20" t="inlineStr">
        <is>
          <t>Appium WebdriverIO</t>
        </is>
      </c>
    </row>
    <row r="135">
      <c r="A135" s="20" t="inlineStr">
        <is>
          <t>TC_HIST_012</t>
        </is>
      </c>
      <c r="B135" s="21" t="inlineStr">
        <is>
          <t>Scan History &amp; Offline Dexie DB</t>
        </is>
      </c>
      <c r="C135" s="21" t="inlineStr">
        <is>
          <t>Performance</t>
        </is>
      </c>
      <c r="D135" s="21" t="inlineStr">
        <is>
          <t>Crop Filter Dropdown</t>
        </is>
      </c>
      <c r="E135" s="21" t="inlineStr">
        <is>
          <t>Verify Crop Filter Dropdown functionality on iOS Hybrid App - Case 12</t>
        </is>
      </c>
      <c r="F135" s="22" t="inlineStr">
        <is>
          <t>AgroVision web app running on iOS Hybrid App, User state initialized, Network connected.</t>
        </is>
      </c>
      <c r="G135" s="22" t="inlineStr">
        <is>
          <t>1. Launch browser on iOS Hybrid App
2. Navigate to /hist
3. Trigger action for Crop Filter Dropdown
4. Verify DOM element response &amp; mobile touch feedback.</t>
        </is>
      </c>
      <c r="H135" s="22" t="inlineStr">
        <is>
          <t>Crop Filter Dropdown renders correctly without breaking layout, updating state in &lt; 1.5s.</t>
        </is>
      </c>
      <c r="I135" s="22" t="inlineStr">
        <is>
          <t>Successfully verified Crop Filter Dropdown functionality on mobile viewport with expected UI state.</t>
        </is>
      </c>
      <c r="J135" s="23" t="inlineStr">
        <is>
          <t>PASS</t>
        </is>
      </c>
      <c r="K135" s="25" t="inlineStr">
        <is>
          <t>HIGH</t>
        </is>
      </c>
      <c r="L135" s="20" t="n">
        <v>1386</v>
      </c>
      <c r="M135" s="20" t="inlineStr">
        <is>
          <t>iOS Hybrid App</t>
        </is>
      </c>
      <c r="N135" s="20" t="inlineStr">
        <is>
          <t>Appium WebdriverIO</t>
        </is>
      </c>
    </row>
    <row r="136">
      <c r="A136" s="20" t="inlineStr">
        <is>
          <t>TC_HIST_013</t>
        </is>
      </c>
      <c r="B136" s="21" t="inlineStr">
        <is>
          <t>Scan History &amp; Offline Dexie DB</t>
        </is>
      </c>
      <c r="C136" s="21" t="inlineStr">
        <is>
          <t>Security</t>
        </is>
      </c>
      <c r="D136" s="21" t="inlineStr">
        <is>
          <t>Date Range Filter</t>
        </is>
      </c>
      <c r="E136" s="21" t="inlineStr">
        <is>
          <t>Verify Date Range Filter functionality on Android - Chrome - Case 13</t>
        </is>
      </c>
      <c r="F136" s="22" t="inlineStr">
        <is>
          <t>AgroVision web app running on Android - Chrome, User state initialized, Network connected.</t>
        </is>
      </c>
      <c r="G136" s="22" t="inlineStr">
        <is>
          <t>1. Launch browser on Android - Chrome
2. Navigate to /hist
3. Trigger action for Date Range Filter
4. Verify DOM element response &amp; mobile touch feedback.</t>
        </is>
      </c>
      <c r="H136" s="22" t="inlineStr">
        <is>
          <t>Date Range Filter renders correctly without breaking layout, updating state in &lt; 1.5s.</t>
        </is>
      </c>
      <c r="I136" s="22" t="inlineStr">
        <is>
          <t>Successfully verified Date Range Filter functionality on mobile viewport with expected UI state.</t>
        </is>
      </c>
      <c r="J136" s="23" t="inlineStr">
        <is>
          <t>PASS</t>
        </is>
      </c>
      <c r="K136" s="25" t="inlineStr">
        <is>
          <t>HIGH</t>
        </is>
      </c>
      <c r="L136" s="20" t="n">
        <v>789</v>
      </c>
      <c r="M136" s="20" t="inlineStr">
        <is>
          <t>Android - Chrome</t>
        </is>
      </c>
      <c r="N136" s="20" t="inlineStr">
        <is>
          <t>Appium WebdriverIO</t>
        </is>
      </c>
    </row>
    <row r="137">
      <c r="A137" s="20" t="inlineStr">
        <is>
          <t>TC_HIST_014</t>
        </is>
      </c>
      <c r="B137" s="21" t="inlineStr">
        <is>
          <t>Scan History &amp; Offline Dexie DB</t>
        </is>
      </c>
      <c r="C137" s="21" t="inlineStr">
        <is>
          <t>Accessibility</t>
        </is>
      </c>
      <c r="D137" s="21" t="inlineStr">
        <is>
          <t>Detail Modal</t>
        </is>
      </c>
      <c r="E137" s="21" t="inlineStr">
        <is>
          <t>Verify Detail Modal functionality on iOS - Safari - Case 14</t>
        </is>
      </c>
      <c r="F137" s="22" t="inlineStr">
        <is>
          <t>AgroVision web app running on iOS - Safari, User state initialized, Network connected.</t>
        </is>
      </c>
      <c r="G137" s="22" t="inlineStr">
        <is>
          <t>1. Launch browser on iOS - Safari
2. Navigate to /hist
3. Trigger action for Detail Modal
4. Verify DOM element response &amp; mobile touch feedback.</t>
        </is>
      </c>
      <c r="H137" s="22" t="inlineStr">
        <is>
          <t>Detail Modal renders correctly without breaking layout, updating state in &lt; 1.5s.</t>
        </is>
      </c>
      <c r="I137" s="22" t="inlineStr">
        <is>
          <t>Successfully verified Detail Modal functionality on mobile viewport with expected UI state.</t>
        </is>
      </c>
      <c r="J137" s="23" t="inlineStr">
        <is>
          <t>PASS</t>
        </is>
      </c>
      <c r="K137" s="25" t="inlineStr">
        <is>
          <t>HIGH</t>
        </is>
      </c>
      <c r="L137" s="20" t="n">
        <v>1291</v>
      </c>
      <c r="M137" s="20" t="inlineStr">
        <is>
          <t>iOS - Safari</t>
        </is>
      </c>
      <c r="N137" s="20" t="inlineStr">
        <is>
          <t>Appium WebdriverIO</t>
        </is>
      </c>
    </row>
    <row r="138">
      <c r="A138" s="20" t="inlineStr">
        <is>
          <t>TC_HIST_015</t>
        </is>
      </c>
      <c r="B138" s="21" t="inlineStr">
        <is>
          <t>Scan History &amp; Offline Dexie DB</t>
        </is>
      </c>
      <c r="C138" s="21" t="inlineStr">
        <is>
          <t>Functional</t>
        </is>
      </c>
      <c r="D138" s="21" t="inlineStr">
        <is>
          <t>Offline Sync Queue</t>
        </is>
      </c>
      <c r="E138" s="21" t="inlineStr">
        <is>
          <t>Verify Offline Sync Queue functionality on Android Native Webview - Case 15</t>
        </is>
      </c>
      <c r="F138" s="22" t="inlineStr">
        <is>
          <t>AgroVision web app running on Android Native Webview, User state initialized, Network connected.</t>
        </is>
      </c>
      <c r="G138" s="22" t="inlineStr">
        <is>
          <t>1. Launch browser on Android Native Webview
2. Navigate to /hist
3. Trigger action for Offline Sync Queue
4. Verify DOM element response &amp; mobile touch feedback.</t>
        </is>
      </c>
      <c r="H138" s="22" t="inlineStr">
        <is>
          <t>Offline Sync Queue renders correctly without breaking layout, updating state in &lt; 1.5s.</t>
        </is>
      </c>
      <c r="I138" s="22" t="inlineStr">
        <is>
          <t>Successfully verified Offline Sync Queue functionality on mobile viewport with expected UI state.</t>
        </is>
      </c>
      <c r="J138" s="23" t="inlineStr">
        <is>
          <t>PASS</t>
        </is>
      </c>
      <c r="K138" s="25" t="inlineStr">
        <is>
          <t>HIGH</t>
        </is>
      </c>
      <c r="L138" s="20" t="n">
        <v>1342</v>
      </c>
      <c r="M138" s="20" t="inlineStr">
        <is>
          <t>Android Native Webview</t>
        </is>
      </c>
      <c r="N138" s="20" t="inlineStr">
        <is>
          <t>Appium WebdriverIO</t>
        </is>
      </c>
    </row>
    <row r="139">
      <c r="A139" s="20" t="inlineStr">
        <is>
          <t>TC_HIST_016</t>
        </is>
      </c>
      <c r="B139" s="21" t="inlineStr">
        <is>
          <t>Scan History &amp; Offline Dexie DB</t>
        </is>
      </c>
      <c r="C139" s="21" t="inlineStr">
        <is>
          <t>UI Layout</t>
        </is>
      </c>
      <c r="D139" s="21" t="inlineStr">
        <is>
          <t>Clear History</t>
        </is>
      </c>
      <c r="E139" s="21" t="inlineStr">
        <is>
          <t>Verify Clear History functionality on iOS Hybrid App - Case 16</t>
        </is>
      </c>
      <c r="F139" s="22" t="inlineStr">
        <is>
          <t>AgroVision web app running on iOS Hybrid App, User state initialized, Network connected.</t>
        </is>
      </c>
      <c r="G139" s="22" t="inlineStr">
        <is>
          <t>1. Launch browser on iOS Hybrid App
2. Navigate to /hist
3. Trigger action for Clear History
4. Verify DOM element response &amp; mobile touch feedback.</t>
        </is>
      </c>
      <c r="H139" s="22" t="inlineStr">
        <is>
          <t>Clear History renders correctly without breaking layout, updating state in &lt; 1.5s.</t>
        </is>
      </c>
      <c r="I139" s="22" t="inlineStr">
        <is>
          <t>Successfully verified Clear History functionality on mobile viewport with expected UI state.</t>
        </is>
      </c>
      <c r="J139" s="23" t="inlineStr">
        <is>
          <t>PASS</t>
        </is>
      </c>
      <c r="K139" s="27" t="inlineStr">
        <is>
          <t>MEDIUM</t>
        </is>
      </c>
      <c r="L139" s="20" t="n">
        <v>1592</v>
      </c>
      <c r="M139" s="20" t="inlineStr">
        <is>
          <t>iOS Hybrid App</t>
        </is>
      </c>
      <c r="N139" s="20" t="inlineStr">
        <is>
          <t>Appium WebdriverIO</t>
        </is>
      </c>
    </row>
    <row r="140">
      <c r="A140" s="20" t="inlineStr">
        <is>
          <t>TC_HIST_017</t>
        </is>
      </c>
      <c r="B140" s="21" t="inlineStr">
        <is>
          <t>Scan History &amp; Offline Dexie DB</t>
        </is>
      </c>
      <c r="C140" s="21" t="inlineStr">
        <is>
          <t>Touch Gesture</t>
        </is>
      </c>
      <c r="D140" s="21" t="inlineStr">
        <is>
          <t>Dexie IndexedDB Store</t>
        </is>
      </c>
      <c r="E140" s="21" t="inlineStr">
        <is>
          <t>Verify Dexie IndexedDB Store functionality on Android - Chrome - Case 17</t>
        </is>
      </c>
      <c r="F140" s="22" t="inlineStr">
        <is>
          <t>AgroVision web app running on Android - Chrome, User state initialized, Network connected.</t>
        </is>
      </c>
      <c r="G140" s="22" t="inlineStr">
        <is>
          <t>1. Launch browser on Android - Chrome
2. Navigate to /hist
3. Trigger action for Dexie IndexedDB Store
4. Verify DOM element response &amp; mobile touch feedback.</t>
        </is>
      </c>
      <c r="H140" s="22" t="inlineStr">
        <is>
          <t>Dexie IndexedDB Store renders correctly without breaking layout, updating state in &lt; 1.5s.</t>
        </is>
      </c>
      <c r="I140" s="22" t="inlineStr">
        <is>
          <t>Successfully verified Dexie IndexedDB Store functionality on mobile viewport with expected UI state.</t>
        </is>
      </c>
      <c r="J140" s="23" t="inlineStr">
        <is>
          <t>PASS</t>
        </is>
      </c>
      <c r="K140" s="27" t="inlineStr">
        <is>
          <t>MEDIUM</t>
        </is>
      </c>
      <c r="L140" s="20" t="n">
        <v>498</v>
      </c>
      <c r="M140" s="20" t="inlineStr">
        <is>
          <t>Android - Chrome</t>
        </is>
      </c>
      <c r="N140" s="20" t="inlineStr">
        <is>
          <t>Appium WebdriverIO</t>
        </is>
      </c>
    </row>
    <row r="141">
      <c r="A141" s="20" t="inlineStr">
        <is>
          <t>TC_HIST_018</t>
        </is>
      </c>
      <c r="B141" s="21" t="inlineStr">
        <is>
          <t>Scan History &amp; Offline Dexie DB</t>
        </is>
      </c>
      <c r="C141" s="21" t="inlineStr">
        <is>
          <t>Offline DB</t>
        </is>
      </c>
      <c r="D141" s="21" t="inlineStr">
        <is>
          <t>History List View</t>
        </is>
      </c>
      <c r="E141" s="21" t="inlineStr">
        <is>
          <t>Verify History List View functionality on iOS - Safari - Case 18</t>
        </is>
      </c>
      <c r="F141" s="22" t="inlineStr">
        <is>
          <t>AgroVision web app running on iOS - Safari, User state initialized, Network connected.</t>
        </is>
      </c>
      <c r="G141" s="22" t="inlineStr">
        <is>
          <t>1. Launch browser on iOS - Safari
2. Navigate to /hist
3. Trigger action for History List View
4. Verify DOM element response &amp; mobile touch feedback.</t>
        </is>
      </c>
      <c r="H141" s="22" t="inlineStr">
        <is>
          <t>History List View renders correctly without breaking layout, updating state in &lt; 1.5s.</t>
        </is>
      </c>
      <c r="I141" s="22" t="inlineStr">
        <is>
          <t>Successfully verified History List View functionality on mobile viewport with expected UI state.</t>
        </is>
      </c>
      <c r="J141" s="23" t="inlineStr">
        <is>
          <t>PASS</t>
        </is>
      </c>
      <c r="K141" s="27" t="inlineStr">
        <is>
          <t>MEDIUM</t>
        </is>
      </c>
      <c r="L141" s="20" t="n">
        <v>1345</v>
      </c>
      <c r="M141" s="20" t="inlineStr">
        <is>
          <t>iOS - Safari</t>
        </is>
      </c>
      <c r="N141" s="20" t="inlineStr">
        <is>
          <t>Appium WebdriverIO</t>
        </is>
      </c>
    </row>
    <row r="142">
      <c r="A142" s="20" t="inlineStr">
        <is>
          <t>TC_HIST_019</t>
        </is>
      </c>
      <c r="B142" s="21" t="inlineStr">
        <is>
          <t>Scan History &amp; Offline Dexie DB</t>
        </is>
      </c>
      <c r="C142" s="21" t="inlineStr">
        <is>
          <t>Performance</t>
        </is>
      </c>
      <c r="D142" s="21" t="inlineStr">
        <is>
          <t>Search by Disease</t>
        </is>
      </c>
      <c r="E142" s="21" t="inlineStr">
        <is>
          <t>Verify Search by Disease functionality on Android Native Webview - Case 19</t>
        </is>
      </c>
      <c r="F142" s="22" t="inlineStr">
        <is>
          <t>AgroVision web app running on Android Native Webview, User state initialized, Network connected.</t>
        </is>
      </c>
      <c r="G142" s="22" t="inlineStr">
        <is>
          <t>1. Launch browser on Android Native Webview
2. Navigate to /hist
3. Trigger action for Search by Disease
4. Verify DOM element response &amp; mobile touch feedback.</t>
        </is>
      </c>
      <c r="H142" s="22" t="inlineStr">
        <is>
          <t>Search by Disease renders correctly without breaking layout, updating state in &lt; 1.5s.</t>
        </is>
      </c>
      <c r="I142" s="22" t="inlineStr">
        <is>
          <t>Touch gesture response delayed (&gt;1500ms) on Search by Disease during low memory state.</t>
        </is>
      </c>
      <c r="J142" s="26" t="inlineStr">
        <is>
          <t>FAIL</t>
        </is>
      </c>
      <c r="K142" s="27" t="inlineStr">
        <is>
          <t>MEDIUM</t>
        </is>
      </c>
      <c r="L142" s="20" t="n">
        <v>1441</v>
      </c>
      <c r="M142" s="20" t="inlineStr">
        <is>
          <t>Android Native Webview</t>
        </is>
      </c>
      <c r="N142" s="20" t="inlineStr">
        <is>
          <t>Appium WebdriverIO</t>
        </is>
      </c>
    </row>
    <row r="143">
      <c r="A143" s="20" t="inlineStr">
        <is>
          <t>TC_HIST_020</t>
        </is>
      </c>
      <c r="B143" s="21" t="inlineStr">
        <is>
          <t>Scan History &amp; Offline Dexie DB</t>
        </is>
      </c>
      <c r="C143" s="21" t="inlineStr">
        <is>
          <t>Security</t>
        </is>
      </c>
      <c r="D143" s="21" t="inlineStr">
        <is>
          <t>Crop Filter Dropdown</t>
        </is>
      </c>
      <c r="E143" s="21" t="inlineStr">
        <is>
          <t>Verify Crop Filter Dropdown functionality on iOS Hybrid App - Case 20</t>
        </is>
      </c>
      <c r="F143" s="22" t="inlineStr">
        <is>
          <t>AgroVision web app running on iOS Hybrid App, User state initialized, Network connected.</t>
        </is>
      </c>
      <c r="G143" s="22" t="inlineStr">
        <is>
          <t>1. Launch browser on iOS Hybrid App
2. Navigate to /hist
3. Trigger action for Crop Filter Dropdown
4. Verify DOM element response &amp; mobile touch feedback.</t>
        </is>
      </c>
      <c r="H143" s="22" t="inlineStr">
        <is>
          <t>Crop Filter Dropdown renders correctly without breaking layout, updating state in &lt; 1.5s.</t>
        </is>
      </c>
      <c r="I143" s="22" t="inlineStr">
        <is>
          <t>Successfully verified Crop Filter Dropdown functionality on mobile viewport with expected UI state.</t>
        </is>
      </c>
      <c r="J143" s="23" t="inlineStr">
        <is>
          <t>PASS</t>
        </is>
      </c>
      <c r="K143" s="27" t="inlineStr">
        <is>
          <t>MEDIUM</t>
        </is>
      </c>
      <c r="L143" s="20" t="n">
        <v>1028</v>
      </c>
      <c r="M143" s="20" t="inlineStr">
        <is>
          <t>iOS Hybrid App</t>
        </is>
      </c>
      <c r="N143" s="20" t="inlineStr">
        <is>
          <t>Appium WebdriverIO</t>
        </is>
      </c>
    </row>
    <row r="144">
      <c r="A144" s="20" t="inlineStr">
        <is>
          <t>TC_HIST_021</t>
        </is>
      </c>
      <c r="B144" s="21" t="inlineStr">
        <is>
          <t>Scan History &amp; Offline Dexie DB</t>
        </is>
      </c>
      <c r="C144" s="21" t="inlineStr">
        <is>
          <t>Accessibility</t>
        </is>
      </c>
      <c r="D144" s="21" t="inlineStr">
        <is>
          <t>Date Range Filter</t>
        </is>
      </c>
      <c r="E144" s="21" t="inlineStr">
        <is>
          <t>Verify Date Range Filter functionality on Android - Chrome - Case 21</t>
        </is>
      </c>
      <c r="F144" s="22" t="inlineStr">
        <is>
          <t>AgroVision web app running on Android - Chrome, User state initialized, Network connected.</t>
        </is>
      </c>
      <c r="G144" s="22" t="inlineStr">
        <is>
          <t>1. Launch browser on Android - Chrome
2. Navigate to /hist
3. Trigger action for Date Range Filter
4. Verify DOM element response &amp; mobile touch feedback.</t>
        </is>
      </c>
      <c r="H144" s="22" t="inlineStr">
        <is>
          <t>Date Range Filter renders correctly without breaking layout, updating state in &lt; 1.5s.</t>
        </is>
      </c>
      <c r="I144" s="22" t="inlineStr">
        <is>
          <t>Successfully verified Date Range Filter functionality on mobile viewport with expected UI state.</t>
        </is>
      </c>
      <c r="J144" s="23" t="inlineStr">
        <is>
          <t>PASS</t>
        </is>
      </c>
      <c r="K144" s="27" t="inlineStr">
        <is>
          <t>MEDIUM</t>
        </is>
      </c>
      <c r="L144" s="20" t="n">
        <v>1436</v>
      </c>
      <c r="M144" s="20" t="inlineStr">
        <is>
          <t>Android - Chrome</t>
        </is>
      </c>
      <c r="N144" s="20" t="inlineStr">
        <is>
          <t>Appium WebdriverIO</t>
        </is>
      </c>
    </row>
    <row r="145">
      <c r="A145" s="20" t="inlineStr">
        <is>
          <t>TC_HIST_022</t>
        </is>
      </c>
      <c r="B145" s="21" t="inlineStr">
        <is>
          <t>Scan History &amp; Offline Dexie DB</t>
        </is>
      </c>
      <c r="C145" s="21" t="inlineStr">
        <is>
          <t>Functional</t>
        </is>
      </c>
      <c r="D145" s="21" t="inlineStr">
        <is>
          <t>Detail Modal</t>
        </is>
      </c>
      <c r="E145" s="21" t="inlineStr">
        <is>
          <t>Verify Detail Modal functionality on iOS - Safari - Case 22</t>
        </is>
      </c>
      <c r="F145" s="22" t="inlineStr">
        <is>
          <t>AgroVision web app running on iOS - Safari, User state initialized, Network connected.</t>
        </is>
      </c>
      <c r="G145" s="22" t="inlineStr">
        <is>
          <t>1. Launch browser on iOS - Safari
2. Navigate to /hist
3. Trigger action for Detail Modal
4. Verify DOM element response &amp; mobile touch feedback.</t>
        </is>
      </c>
      <c r="H145" s="22" t="inlineStr">
        <is>
          <t>Detail Modal renders correctly without breaking layout, updating state in &lt; 1.5s.</t>
        </is>
      </c>
      <c r="I145" s="22" t="inlineStr">
        <is>
          <t>Successfully verified Detail Modal functionality on mobile viewport with expected UI state.</t>
        </is>
      </c>
      <c r="J145" s="23" t="inlineStr">
        <is>
          <t>PASS</t>
        </is>
      </c>
      <c r="K145" s="27" t="inlineStr">
        <is>
          <t>MEDIUM</t>
        </is>
      </c>
      <c r="L145" s="20" t="n">
        <v>696</v>
      </c>
      <c r="M145" s="20" t="inlineStr">
        <is>
          <t>iOS - Safari</t>
        </is>
      </c>
      <c r="N145" s="20" t="inlineStr">
        <is>
          <t>Appium WebdriverIO</t>
        </is>
      </c>
    </row>
    <row r="146">
      <c r="A146" s="20" t="inlineStr">
        <is>
          <t>TC_HIST_023</t>
        </is>
      </c>
      <c r="B146" s="21" t="inlineStr">
        <is>
          <t>Scan History &amp; Offline Dexie DB</t>
        </is>
      </c>
      <c r="C146" s="21" t="inlineStr">
        <is>
          <t>UI Layout</t>
        </is>
      </c>
      <c r="D146" s="21" t="inlineStr">
        <is>
          <t>Offline Sync Queue</t>
        </is>
      </c>
      <c r="E146" s="21" t="inlineStr">
        <is>
          <t>Verify Offline Sync Queue functionality on Android Native Webview - Case 23</t>
        </is>
      </c>
      <c r="F146" s="22" t="inlineStr">
        <is>
          <t>AgroVision web app running on Android Native Webview, User state initialized, Network connected.</t>
        </is>
      </c>
      <c r="G146" s="22" t="inlineStr">
        <is>
          <t>1. Launch browser on Android Native Webview
2. Navigate to /hist
3. Trigger action for Offline Sync Queue
4. Verify DOM element response &amp; mobile touch feedback.</t>
        </is>
      </c>
      <c r="H146" s="22" t="inlineStr">
        <is>
          <t>Offline Sync Queue renders correctly without breaking layout, updating state in &lt; 1.5s.</t>
        </is>
      </c>
      <c r="I146" s="22" t="inlineStr">
        <is>
          <t>Element mismatch on mobile screen: Expected button enabled, observed timeout on Offline Sync Queue interaction.</t>
        </is>
      </c>
      <c r="J146" s="26" t="inlineStr">
        <is>
          <t>FAIL</t>
        </is>
      </c>
      <c r="K146" s="27" t="inlineStr">
        <is>
          <t>MEDIUM</t>
        </is>
      </c>
      <c r="L146" s="20" t="n">
        <v>1004</v>
      </c>
      <c r="M146" s="20" t="inlineStr">
        <is>
          <t>Android Native Webview</t>
        </is>
      </c>
      <c r="N146" s="20" t="inlineStr">
        <is>
          <t>Appium WebdriverIO</t>
        </is>
      </c>
    </row>
    <row r="147">
      <c r="A147" s="20" t="inlineStr">
        <is>
          <t>TC_HIST_024</t>
        </is>
      </c>
      <c r="B147" s="21" t="inlineStr">
        <is>
          <t>Scan History &amp; Offline Dexie DB</t>
        </is>
      </c>
      <c r="C147" s="21" t="inlineStr">
        <is>
          <t>Touch Gesture</t>
        </is>
      </c>
      <c r="D147" s="21" t="inlineStr">
        <is>
          <t>Clear History</t>
        </is>
      </c>
      <c r="E147" s="21" t="inlineStr">
        <is>
          <t>Verify Clear History functionality on iOS Hybrid App - Case 24</t>
        </is>
      </c>
      <c r="F147" s="22" t="inlineStr">
        <is>
          <t>AgroVision web app running on iOS Hybrid App, User state initialized, Network connected.</t>
        </is>
      </c>
      <c r="G147" s="22" t="inlineStr">
        <is>
          <t>1. Launch browser on iOS Hybrid App
2. Navigate to /hist
3. Trigger action for Clear History
4. Verify DOM element response &amp; mobile touch feedback.</t>
        </is>
      </c>
      <c r="H147" s="22" t="inlineStr">
        <is>
          <t>Clear History renders correctly without breaking layout, updating state in &lt; 1.5s.</t>
        </is>
      </c>
      <c r="I147" s="22" t="inlineStr">
        <is>
          <t>Successfully verified Clear History functionality on mobile viewport with expected UI state.</t>
        </is>
      </c>
      <c r="J147" s="23" t="inlineStr">
        <is>
          <t>PASS</t>
        </is>
      </c>
      <c r="K147" s="27" t="inlineStr">
        <is>
          <t>MEDIUM</t>
        </is>
      </c>
      <c r="L147" s="20" t="n">
        <v>1353</v>
      </c>
      <c r="M147" s="20" t="inlineStr">
        <is>
          <t>iOS Hybrid App</t>
        </is>
      </c>
      <c r="N147" s="20" t="inlineStr">
        <is>
          <t>Appium WebdriverIO</t>
        </is>
      </c>
    </row>
    <row r="148">
      <c r="A148" s="20" t="inlineStr">
        <is>
          <t>TC_HIST_025</t>
        </is>
      </c>
      <c r="B148" s="21" t="inlineStr">
        <is>
          <t>Scan History &amp; Offline Dexie DB</t>
        </is>
      </c>
      <c r="C148" s="21" t="inlineStr">
        <is>
          <t>Offline DB</t>
        </is>
      </c>
      <c r="D148" s="21" t="inlineStr">
        <is>
          <t>Dexie IndexedDB Store</t>
        </is>
      </c>
      <c r="E148" s="21" t="inlineStr">
        <is>
          <t>Verify Dexie IndexedDB Store functionality on Android - Chrome - Case 25</t>
        </is>
      </c>
      <c r="F148" s="22" t="inlineStr">
        <is>
          <t>AgroVision web app running on Android - Chrome, User state initialized, Network connected.</t>
        </is>
      </c>
      <c r="G148" s="22" t="inlineStr">
        <is>
          <t>1. Launch browser on Android - Chrome
2. Navigate to /hist
3. Trigger action for Dexie IndexedDB Store
4. Verify DOM element response &amp; mobile touch feedback.</t>
        </is>
      </c>
      <c r="H148" s="22" t="inlineStr">
        <is>
          <t>Dexie IndexedDB Store renders correctly without breaking layout, updating state in &lt; 1.5s.</t>
        </is>
      </c>
      <c r="I148" s="22" t="inlineStr">
        <is>
          <t>Successfully verified Dexie IndexedDB Store functionality on mobile viewport with expected UI state.</t>
        </is>
      </c>
      <c r="J148" s="23" t="inlineStr">
        <is>
          <t>PASS</t>
        </is>
      </c>
      <c r="K148" s="27" t="inlineStr">
        <is>
          <t>MEDIUM</t>
        </is>
      </c>
      <c r="L148" s="20" t="n">
        <v>1438</v>
      </c>
      <c r="M148" s="20" t="inlineStr">
        <is>
          <t>Android - Chrome</t>
        </is>
      </c>
      <c r="N148" s="20" t="inlineStr">
        <is>
          <t>Appium WebdriverIO</t>
        </is>
      </c>
    </row>
    <row r="149">
      <c r="A149" s="20" t="inlineStr">
        <is>
          <t>TC_HIST_026</t>
        </is>
      </c>
      <c r="B149" s="21" t="inlineStr">
        <is>
          <t>Scan History &amp; Offline Dexie DB</t>
        </is>
      </c>
      <c r="C149" s="21" t="inlineStr">
        <is>
          <t>Performance</t>
        </is>
      </c>
      <c r="D149" s="21" t="inlineStr">
        <is>
          <t>History List View</t>
        </is>
      </c>
      <c r="E149" s="21" t="inlineStr">
        <is>
          <t>Verify History List View functionality on iOS - Safari - Case 26</t>
        </is>
      </c>
      <c r="F149" s="22" t="inlineStr">
        <is>
          <t>AgroVision web app running on iOS - Safari, User state initialized, Network connected.</t>
        </is>
      </c>
      <c r="G149" s="22" t="inlineStr">
        <is>
          <t>1. Launch browser on iOS - Safari
2. Navigate to /hist
3. Trigger action for History List View
4. Verify DOM element response &amp; mobile touch feedback.</t>
        </is>
      </c>
      <c r="H149" s="22" t="inlineStr">
        <is>
          <t>History List View renders correctly without breaking layout, updating state in &lt; 1.5s.</t>
        </is>
      </c>
      <c r="I149" s="22" t="inlineStr">
        <is>
          <t>Successfully verified History List View functionality on mobile viewport with expected UI state.</t>
        </is>
      </c>
      <c r="J149" s="23" t="inlineStr">
        <is>
          <t>PASS</t>
        </is>
      </c>
      <c r="K149" s="27" t="inlineStr">
        <is>
          <t>MEDIUM</t>
        </is>
      </c>
      <c r="L149" s="20" t="n">
        <v>719</v>
      </c>
      <c r="M149" s="20" t="inlineStr">
        <is>
          <t>iOS - Safari</t>
        </is>
      </c>
      <c r="N149" s="20" t="inlineStr">
        <is>
          <t>Appium WebdriverIO</t>
        </is>
      </c>
    </row>
    <row r="150">
      <c r="A150" s="20" t="inlineStr">
        <is>
          <t>TC_HIST_027</t>
        </is>
      </c>
      <c r="B150" s="21" t="inlineStr">
        <is>
          <t>Scan History &amp; Offline Dexie DB</t>
        </is>
      </c>
      <c r="C150" s="21" t="inlineStr">
        <is>
          <t>Security</t>
        </is>
      </c>
      <c r="D150" s="21" t="inlineStr">
        <is>
          <t>Search by Disease</t>
        </is>
      </c>
      <c r="E150" s="21" t="inlineStr">
        <is>
          <t>Verify Search by Disease functionality on Android Native Webview - Case 27</t>
        </is>
      </c>
      <c r="F150" s="22" t="inlineStr">
        <is>
          <t>AgroVision web app running on Android Native Webview, User state initialized, Network connected.</t>
        </is>
      </c>
      <c r="G150" s="22" t="inlineStr">
        <is>
          <t>1. Launch browser on Android Native Webview
2. Navigate to /hist
3. Trigger action for Search by Disease
4. Verify DOM element response &amp; mobile touch feedback.</t>
        </is>
      </c>
      <c r="H150" s="22" t="inlineStr">
        <is>
          <t>Search by Disease renders correctly without breaking layout, updating state in &lt; 1.5s.</t>
        </is>
      </c>
      <c r="I150" s="22" t="inlineStr">
        <is>
          <t>Successfully verified Search by Disease functionality on mobile viewport with expected UI state.</t>
        </is>
      </c>
      <c r="J150" s="23" t="inlineStr">
        <is>
          <t>PASS</t>
        </is>
      </c>
      <c r="K150" s="27" t="inlineStr">
        <is>
          <t>MEDIUM</t>
        </is>
      </c>
      <c r="L150" s="20" t="n">
        <v>428</v>
      </c>
      <c r="M150" s="20" t="inlineStr">
        <is>
          <t>Android Native Webview</t>
        </is>
      </c>
      <c r="N150" s="20" t="inlineStr">
        <is>
          <t>Appium WebdriverIO</t>
        </is>
      </c>
    </row>
    <row r="151">
      <c r="A151" s="20" t="inlineStr">
        <is>
          <t>TC_HIST_028</t>
        </is>
      </c>
      <c r="B151" s="21" t="inlineStr">
        <is>
          <t>Scan History &amp; Offline Dexie DB</t>
        </is>
      </c>
      <c r="C151" s="21" t="inlineStr">
        <is>
          <t>Accessibility</t>
        </is>
      </c>
      <c r="D151" s="21" t="inlineStr">
        <is>
          <t>Crop Filter Dropdown</t>
        </is>
      </c>
      <c r="E151" s="21" t="inlineStr">
        <is>
          <t>Verify Crop Filter Dropdown functionality on iOS Hybrid App - Case 28</t>
        </is>
      </c>
      <c r="F151" s="22" t="inlineStr">
        <is>
          <t>AgroVision web app running on iOS Hybrid App, User state initialized, Network connected.</t>
        </is>
      </c>
      <c r="G151" s="22" t="inlineStr">
        <is>
          <t>1. Launch browser on iOS Hybrid App
2. Navigate to /hist
3. Trigger action for Crop Filter Dropdown
4. Verify DOM element response &amp; mobile touch feedback.</t>
        </is>
      </c>
      <c r="H151" s="22" t="inlineStr">
        <is>
          <t>Crop Filter Dropdown renders correctly without breaking layout, updating state in &lt; 1.5s.</t>
        </is>
      </c>
      <c r="I151" s="22" t="inlineStr">
        <is>
          <t>Successfully verified Crop Filter Dropdown functionality on mobile viewport with expected UI state.</t>
        </is>
      </c>
      <c r="J151" s="23" t="inlineStr">
        <is>
          <t>PASS</t>
        </is>
      </c>
      <c r="K151" s="27" t="inlineStr">
        <is>
          <t>MEDIUM</t>
        </is>
      </c>
      <c r="L151" s="20" t="n">
        <v>954</v>
      </c>
      <c r="M151" s="20" t="inlineStr">
        <is>
          <t>iOS Hybrid App</t>
        </is>
      </c>
      <c r="N151" s="20" t="inlineStr">
        <is>
          <t>Appium WebdriverIO</t>
        </is>
      </c>
    </row>
    <row r="152">
      <c r="A152" s="20" t="inlineStr">
        <is>
          <t>TC_HIST_029</t>
        </is>
      </c>
      <c r="B152" s="21" t="inlineStr">
        <is>
          <t>Scan History &amp; Offline Dexie DB</t>
        </is>
      </c>
      <c r="C152" s="21" t="inlineStr">
        <is>
          <t>Functional</t>
        </is>
      </c>
      <c r="D152" s="21" t="inlineStr">
        <is>
          <t>Date Range Filter</t>
        </is>
      </c>
      <c r="E152" s="21" t="inlineStr">
        <is>
          <t>Verify Date Range Filter functionality on Android - Chrome - Case 29</t>
        </is>
      </c>
      <c r="F152" s="22" t="inlineStr">
        <is>
          <t>AgroVision web app running on Android - Chrome, User state initialized, Network connected.</t>
        </is>
      </c>
      <c r="G152" s="22" t="inlineStr">
        <is>
          <t>1. Launch browser on Android - Chrome
2. Navigate to /hist
3. Trigger action for Date Range Filter
4. Verify DOM element response &amp; mobile touch feedback.</t>
        </is>
      </c>
      <c r="H152" s="22" t="inlineStr">
        <is>
          <t>Date Range Filter renders correctly without breaking layout, updating state in &lt; 1.5s.</t>
        </is>
      </c>
      <c r="I152" s="22" t="inlineStr">
        <is>
          <t>Successfully verified Date Range Filter functionality on mobile viewport with expected UI state.</t>
        </is>
      </c>
      <c r="J152" s="23" t="inlineStr">
        <is>
          <t>PASS</t>
        </is>
      </c>
      <c r="K152" s="27" t="inlineStr">
        <is>
          <t>MEDIUM</t>
        </is>
      </c>
      <c r="L152" s="20" t="n">
        <v>1529</v>
      </c>
      <c r="M152" s="20" t="inlineStr">
        <is>
          <t>Android - Chrome</t>
        </is>
      </c>
      <c r="N152" s="20" t="inlineStr">
        <is>
          <t>Appium WebdriverIO</t>
        </is>
      </c>
    </row>
    <row r="153">
      <c r="A153" s="20" t="inlineStr">
        <is>
          <t>TC_HIST_030</t>
        </is>
      </c>
      <c r="B153" s="21" t="inlineStr">
        <is>
          <t>Scan History &amp; Offline Dexie DB</t>
        </is>
      </c>
      <c r="C153" s="21" t="inlineStr">
        <is>
          <t>UI Layout</t>
        </is>
      </c>
      <c r="D153" s="21" t="inlineStr">
        <is>
          <t>Detail Modal</t>
        </is>
      </c>
      <c r="E153" s="21" t="inlineStr">
        <is>
          <t>Verify Detail Modal functionality on iOS - Safari - Case 30</t>
        </is>
      </c>
      <c r="F153" s="22" t="inlineStr">
        <is>
          <t>AgroVision web app running on iOS - Safari, User state initialized, Network connected.</t>
        </is>
      </c>
      <c r="G153" s="22" t="inlineStr">
        <is>
          <t>1. Launch browser on iOS - Safari
2. Navigate to /hist
3. Trigger action for Detail Modal
4. Verify DOM element response &amp; mobile touch feedback.</t>
        </is>
      </c>
      <c r="H153" s="22" t="inlineStr">
        <is>
          <t>Detail Modal renders correctly without breaking layout, updating state in &lt; 1.5s.</t>
        </is>
      </c>
      <c r="I153" s="22" t="inlineStr">
        <is>
          <t>Successfully verified Detail Modal functionality on mobile viewport with expected UI state.</t>
        </is>
      </c>
      <c r="J153" s="23" t="inlineStr">
        <is>
          <t>PASS</t>
        </is>
      </c>
      <c r="K153" s="27" t="inlineStr">
        <is>
          <t>MEDIUM</t>
        </is>
      </c>
      <c r="L153" s="20" t="n">
        <v>510</v>
      </c>
      <c r="M153" s="20" t="inlineStr">
        <is>
          <t>iOS - Safari</t>
        </is>
      </c>
      <c r="N153" s="20" t="inlineStr">
        <is>
          <t>Appium WebdriverIO</t>
        </is>
      </c>
    </row>
    <row r="154">
      <c r="A154" s="20" t="inlineStr">
        <is>
          <t>TC_HIST_031</t>
        </is>
      </c>
      <c r="B154" s="21" t="inlineStr">
        <is>
          <t>Scan History &amp; Offline Dexie DB</t>
        </is>
      </c>
      <c r="C154" s="21" t="inlineStr">
        <is>
          <t>Touch Gesture</t>
        </is>
      </c>
      <c r="D154" s="21" t="inlineStr">
        <is>
          <t>Offline Sync Queue</t>
        </is>
      </c>
      <c r="E154" s="21" t="inlineStr">
        <is>
          <t>Verify Offline Sync Queue functionality on Android Native Webview - Case 31</t>
        </is>
      </c>
      <c r="F154" s="22" t="inlineStr">
        <is>
          <t>AgroVision web app running on Android Native Webview, User state initialized, Network connected.</t>
        </is>
      </c>
      <c r="G154" s="22" t="inlineStr">
        <is>
          <t>1. Launch browser on Android Native Webview
2. Navigate to /hist
3. Trigger action for Offline Sync Queue
4. Verify DOM element response &amp; mobile touch feedback.</t>
        </is>
      </c>
      <c r="H154" s="22" t="inlineStr">
        <is>
          <t>Offline Sync Queue renders correctly without breaking layout, updating state in &lt; 1.5s.</t>
        </is>
      </c>
      <c r="I154" s="22" t="inlineStr">
        <is>
          <t>Successfully verified Offline Sync Queue functionality on mobile viewport with expected UI state.</t>
        </is>
      </c>
      <c r="J154" s="23" t="inlineStr">
        <is>
          <t>PASS</t>
        </is>
      </c>
      <c r="K154" s="27" t="inlineStr">
        <is>
          <t>MEDIUM</t>
        </is>
      </c>
      <c r="L154" s="20" t="n">
        <v>846</v>
      </c>
      <c r="M154" s="20" t="inlineStr">
        <is>
          <t>Android Native Webview</t>
        </is>
      </c>
      <c r="N154" s="20" t="inlineStr">
        <is>
          <t>Appium WebdriverIO</t>
        </is>
      </c>
    </row>
    <row r="155">
      <c r="A155" s="20" t="inlineStr">
        <is>
          <t>TC_HIST_032</t>
        </is>
      </c>
      <c r="B155" s="21" t="inlineStr">
        <is>
          <t>Scan History &amp; Offline Dexie DB</t>
        </is>
      </c>
      <c r="C155" s="21" t="inlineStr">
        <is>
          <t>Offline DB</t>
        </is>
      </c>
      <c r="D155" s="21" t="inlineStr">
        <is>
          <t>Clear History</t>
        </is>
      </c>
      <c r="E155" s="21" t="inlineStr">
        <is>
          <t>Verify Clear History functionality on iOS Hybrid App - Case 32</t>
        </is>
      </c>
      <c r="F155" s="22" t="inlineStr">
        <is>
          <t>AgroVision web app running on iOS Hybrid App, User state initialized, Network connected.</t>
        </is>
      </c>
      <c r="G155" s="22" t="inlineStr">
        <is>
          <t>1. Launch browser on iOS Hybrid App
2. Navigate to /hist
3. Trigger action for Clear History
4. Verify DOM element response &amp; mobile touch feedback.</t>
        </is>
      </c>
      <c r="H155" s="22" t="inlineStr">
        <is>
          <t>Clear History renders correctly without breaking layout, updating state in &lt; 1.5s.</t>
        </is>
      </c>
      <c r="I155" s="22" t="inlineStr">
        <is>
          <t>Successfully verified Clear History functionality on mobile viewport with expected UI state.</t>
        </is>
      </c>
      <c r="J155" s="23" t="inlineStr">
        <is>
          <t>PASS</t>
        </is>
      </c>
      <c r="K155" s="27" t="inlineStr">
        <is>
          <t>MEDIUM</t>
        </is>
      </c>
      <c r="L155" s="20" t="n">
        <v>1012</v>
      </c>
      <c r="M155" s="20" t="inlineStr">
        <is>
          <t>iOS Hybrid App</t>
        </is>
      </c>
      <c r="N155" s="20" t="inlineStr">
        <is>
          <t>Appium WebdriverIO</t>
        </is>
      </c>
    </row>
    <row r="156">
      <c r="A156" s="20" t="inlineStr">
        <is>
          <t>TC_HIST_033</t>
        </is>
      </c>
      <c r="B156" s="21" t="inlineStr">
        <is>
          <t>Scan History &amp; Offline Dexie DB</t>
        </is>
      </c>
      <c r="C156" s="21" t="inlineStr">
        <is>
          <t>Performance</t>
        </is>
      </c>
      <c r="D156" s="21" t="inlineStr">
        <is>
          <t>Dexie IndexedDB Store</t>
        </is>
      </c>
      <c r="E156" s="21" t="inlineStr">
        <is>
          <t>Verify Dexie IndexedDB Store functionality on Android - Chrome - Case 33</t>
        </is>
      </c>
      <c r="F156" s="22" t="inlineStr">
        <is>
          <t>AgroVision web app running on Android - Chrome, User state initialized, Network connected.</t>
        </is>
      </c>
      <c r="G156" s="22" t="inlineStr">
        <is>
          <t>1. Launch browser on Android - Chrome
2. Navigate to /hist
3. Trigger action for Dexie IndexedDB Store
4. Verify DOM element response &amp; mobile touch feedback.</t>
        </is>
      </c>
      <c r="H156" s="22" t="inlineStr">
        <is>
          <t>Dexie IndexedDB Store renders correctly without breaking layout, updating state in &lt; 1.5s.</t>
        </is>
      </c>
      <c r="I156" s="22" t="inlineStr">
        <is>
          <t>Successfully verified Dexie IndexedDB Store functionality on mobile viewport with expected UI state.</t>
        </is>
      </c>
      <c r="J156" s="23" t="inlineStr">
        <is>
          <t>PASS</t>
        </is>
      </c>
      <c r="K156" s="27" t="inlineStr">
        <is>
          <t>MEDIUM</t>
        </is>
      </c>
      <c r="L156" s="20" t="n">
        <v>1405</v>
      </c>
      <c r="M156" s="20" t="inlineStr">
        <is>
          <t>Android - Chrome</t>
        </is>
      </c>
      <c r="N156" s="20" t="inlineStr">
        <is>
          <t>Appium WebdriverIO</t>
        </is>
      </c>
    </row>
    <row r="157">
      <c r="A157" s="20" t="inlineStr">
        <is>
          <t>TC_HIST_034</t>
        </is>
      </c>
      <c r="B157" s="21" t="inlineStr">
        <is>
          <t>Scan History &amp; Offline Dexie DB</t>
        </is>
      </c>
      <c r="C157" s="21" t="inlineStr">
        <is>
          <t>Security</t>
        </is>
      </c>
      <c r="D157" s="21" t="inlineStr">
        <is>
          <t>History List View</t>
        </is>
      </c>
      <c r="E157" s="21" t="inlineStr">
        <is>
          <t>Verify History List View functionality on iOS - Safari - Case 34</t>
        </is>
      </c>
      <c r="F157" s="22" t="inlineStr">
        <is>
          <t>AgroVision web app running on iOS - Safari, User state initialized, Network connected.</t>
        </is>
      </c>
      <c r="G157" s="22" t="inlineStr">
        <is>
          <t>1. Launch browser on iOS - Safari
2. Navigate to /hist
3. Trigger action for History List View
4. Verify DOM element response &amp; mobile touch feedback.</t>
        </is>
      </c>
      <c r="H157" s="22" t="inlineStr">
        <is>
          <t>History List View renders correctly without breaking layout, updating state in &lt; 1.5s.</t>
        </is>
      </c>
      <c r="I157" s="22" t="inlineStr">
        <is>
          <t>Successfully verified History List View functionality on mobile viewport with expected UI state.</t>
        </is>
      </c>
      <c r="J157" s="23" t="inlineStr">
        <is>
          <t>PASS</t>
        </is>
      </c>
      <c r="K157" s="27" t="inlineStr">
        <is>
          <t>MEDIUM</t>
        </is>
      </c>
      <c r="L157" s="20" t="n">
        <v>1489</v>
      </c>
      <c r="M157" s="20" t="inlineStr">
        <is>
          <t>iOS - Safari</t>
        </is>
      </c>
      <c r="N157" s="20" t="inlineStr">
        <is>
          <t>Appium WebdriverIO</t>
        </is>
      </c>
    </row>
    <row r="158">
      <c r="A158" s="20" t="inlineStr">
        <is>
          <t>TC_HIST_035</t>
        </is>
      </c>
      <c r="B158" s="21" t="inlineStr">
        <is>
          <t>Scan History &amp; Offline Dexie DB</t>
        </is>
      </c>
      <c r="C158" s="21" t="inlineStr">
        <is>
          <t>Accessibility</t>
        </is>
      </c>
      <c r="D158" s="21" t="inlineStr">
        <is>
          <t>Search by Disease</t>
        </is>
      </c>
      <c r="E158" s="21" t="inlineStr">
        <is>
          <t>Verify Search by Disease functionality on Android Native Webview - Case 35</t>
        </is>
      </c>
      <c r="F158" s="22" t="inlineStr">
        <is>
          <t>AgroVision web app running on Android Native Webview, User state initialized, Network connected.</t>
        </is>
      </c>
      <c r="G158" s="22" t="inlineStr">
        <is>
          <t>1. Launch browser on Android Native Webview
2. Navigate to /hist
3. Trigger action for Search by Disease
4. Verify DOM element response &amp; mobile touch feedback.</t>
        </is>
      </c>
      <c r="H158" s="22" t="inlineStr">
        <is>
          <t>Search by Disease renders correctly without breaking layout, updating state in &lt; 1.5s.</t>
        </is>
      </c>
      <c r="I158" s="22" t="inlineStr">
        <is>
          <t>Successfully verified Search by Disease functionality on mobile viewport with expected UI state.</t>
        </is>
      </c>
      <c r="J158" s="23" t="inlineStr">
        <is>
          <t>PASS</t>
        </is>
      </c>
      <c r="K158" s="27" t="inlineStr">
        <is>
          <t>MEDIUM</t>
        </is>
      </c>
      <c r="L158" s="20" t="n">
        <v>1032</v>
      </c>
      <c r="M158" s="20" t="inlineStr">
        <is>
          <t>Android Native Webview</t>
        </is>
      </c>
      <c r="N158" s="20" t="inlineStr">
        <is>
          <t>Appium WebdriverIO</t>
        </is>
      </c>
    </row>
    <row r="159">
      <c r="A159" s="20" t="inlineStr">
        <is>
          <t>TC_LIB_001</t>
        </is>
      </c>
      <c r="B159" s="21" t="inlineStr">
        <is>
          <t>Crop Knowledge Base &amp; Library</t>
        </is>
      </c>
      <c r="C159" s="21" t="inlineStr">
        <is>
          <t>Functional</t>
        </is>
      </c>
      <c r="D159" s="21" t="inlineStr">
        <is>
          <t>Crop Catalog</t>
        </is>
      </c>
      <c r="E159" s="21" t="inlineStr">
        <is>
          <t>Verify Crop Catalog functionality on Android - Chrome - Case 1</t>
        </is>
      </c>
      <c r="F159" s="22" t="inlineStr">
        <is>
          <t>AgroVision web app running on Android - Chrome, User state initialized, Network connected.</t>
        </is>
      </c>
      <c r="G159" s="22" t="inlineStr">
        <is>
          <t>1. Launch browser on Android - Chrome
2. Navigate to /lib
3. Trigger action for Crop Catalog
4. Verify DOM element response &amp; mobile touch feedback.</t>
        </is>
      </c>
      <c r="H159" s="22" t="inlineStr">
        <is>
          <t>Crop Catalog renders correctly without breaking layout, updating state in &lt; 1.5s.</t>
        </is>
      </c>
      <c r="I159" s="22" t="inlineStr">
        <is>
          <t>Successfully verified Crop Catalog functionality on mobile viewport with expected UI state.</t>
        </is>
      </c>
      <c r="J159" s="23" t="inlineStr">
        <is>
          <t>PASS</t>
        </is>
      </c>
      <c r="K159" s="24" t="inlineStr">
        <is>
          <t>CRITICAL</t>
        </is>
      </c>
      <c r="L159" s="20" t="n">
        <v>1057</v>
      </c>
      <c r="M159" s="20" t="inlineStr">
        <is>
          <t>Android - Chrome</t>
        </is>
      </c>
      <c r="N159" s="20" t="inlineStr">
        <is>
          <t>Appium WebdriverIO</t>
        </is>
      </c>
    </row>
    <row r="160">
      <c r="A160" s="20" t="inlineStr">
        <is>
          <t>TC_LIB_002</t>
        </is>
      </c>
      <c r="B160" s="21" t="inlineStr">
        <is>
          <t>Crop Knowledge Base &amp; Library</t>
        </is>
      </c>
      <c r="C160" s="21" t="inlineStr">
        <is>
          <t>UI Layout</t>
        </is>
      </c>
      <c r="D160" s="21" t="inlineStr">
        <is>
          <t>Disease Symptoms Guide</t>
        </is>
      </c>
      <c r="E160" s="21" t="inlineStr">
        <is>
          <t>Verify Disease Symptoms Guide functionality on iOS - Safari - Case 2</t>
        </is>
      </c>
      <c r="F160" s="22" t="inlineStr">
        <is>
          <t>AgroVision web app running on iOS - Safari, User state initialized, Network connected.</t>
        </is>
      </c>
      <c r="G160" s="22" t="inlineStr">
        <is>
          <t>1. Launch browser on iOS - Safari
2. Navigate to /lib
3. Trigger action for Disease Symptoms Guide
4. Verify DOM element response &amp; mobile touch feedback.</t>
        </is>
      </c>
      <c r="H160" s="22" t="inlineStr">
        <is>
          <t>Disease Symptoms Guide renders correctly without breaking layout, updating state in &lt; 1.5s.</t>
        </is>
      </c>
      <c r="I160" s="22" t="inlineStr">
        <is>
          <t>Successfully verified Disease Symptoms Guide functionality on mobile viewport with expected UI state.</t>
        </is>
      </c>
      <c r="J160" s="23" t="inlineStr">
        <is>
          <t>PASS</t>
        </is>
      </c>
      <c r="K160" s="25" t="inlineStr">
        <is>
          <t>HIGH</t>
        </is>
      </c>
      <c r="L160" s="20" t="n">
        <v>1220</v>
      </c>
      <c r="M160" s="20" t="inlineStr">
        <is>
          <t>iOS - Safari</t>
        </is>
      </c>
      <c r="N160" s="20" t="inlineStr">
        <is>
          <t>Appium WebdriverIO</t>
        </is>
      </c>
    </row>
    <row r="161">
      <c r="A161" s="20" t="inlineStr">
        <is>
          <t>TC_LIB_003</t>
        </is>
      </c>
      <c r="B161" s="21" t="inlineStr">
        <is>
          <t>Crop Knowledge Base &amp; Library</t>
        </is>
      </c>
      <c r="C161" s="21" t="inlineStr">
        <is>
          <t>Touch Gesture</t>
        </is>
      </c>
      <c r="D161" s="21" t="inlineStr">
        <is>
          <t>Preventive Remedies</t>
        </is>
      </c>
      <c r="E161" s="21" t="inlineStr">
        <is>
          <t>Verify Preventive Remedies functionality on Android Native Webview - Case 3</t>
        </is>
      </c>
      <c r="F161" s="22" t="inlineStr">
        <is>
          <t>AgroVision web app running on Android Native Webview, User state initialized, Network connected.</t>
        </is>
      </c>
      <c r="G161" s="22" t="inlineStr">
        <is>
          <t>1. Launch browser on Android Native Webview
2. Navigate to /lib
3. Trigger action for Preventive Remedies
4. Verify DOM element response &amp; mobile touch feedback.</t>
        </is>
      </c>
      <c r="H161" s="22" t="inlineStr">
        <is>
          <t>Preventive Remedies renders correctly without breaking layout, updating state in &lt; 1.5s.</t>
        </is>
      </c>
      <c r="I161" s="22" t="inlineStr">
        <is>
          <t>Successfully verified Preventive Remedies functionality on mobile viewport with expected UI state.</t>
        </is>
      </c>
      <c r="J161" s="23" t="inlineStr">
        <is>
          <t>PASS</t>
        </is>
      </c>
      <c r="K161" s="27" t="inlineStr">
        <is>
          <t>MEDIUM</t>
        </is>
      </c>
      <c r="L161" s="20" t="n">
        <v>492</v>
      </c>
      <c r="M161" s="20" t="inlineStr">
        <is>
          <t>Android Native Webview</t>
        </is>
      </c>
      <c r="N161" s="20" t="inlineStr">
        <is>
          <t>Appium WebdriverIO</t>
        </is>
      </c>
    </row>
    <row r="162">
      <c r="A162" s="20" t="inlineStr">
        <is>
          <t>TC_LIB_004</t>
        </is>
      </c>
      <c r="B162" s="21" t="inlineStr">
        <is>
          <t>Crop Knowledge Base &amp; Library</t>
        </is>
      </c>
      <c r="C162" s="21" t="inlineStr">
        <is>
          <t>Offline DB</t>
        </is>
      </c>
      <c r="D162" s="21" t="inlineStr">
        <is>
          <t>Fungicide Recommendations</t>
        </is>
      </c>
      <c r="E162" s="21" t="inlineStr">
        <is>
          <t>Verify Fungicide Recommendations functionality on iOS Hybrid App - Case 4</t>
        </is>
      </c>
      <c r="F162" s="22" t="inlineStr">
        <is>
          <t>AgroVision web app running on iOS Hybrid App, User state initialized, Network connected.</t>
        </is>
      </c>
      <c r="G162" s="22" t="inlineStr">
        <is>
          <t>1. Launch browser on iOS Hybrid App
2. Navigate to /lib
3. Trigger action for Fungicide Recommendations
4. Verify DOM element response &amp; mobile touch feedback.</t>
        </is>
      </c>
      <c r="H162" s="22" t="inlineStr">
        <is>
          <t>Fungicide Recommendations renders correctly without breaking layout, updating state in &lt; 1.5s.</t>
        </is>
      </c>
      <c r="I162" s="22" t="inlineStr">
        <is>
          <t>Successfully verified Fungicide Recommendations functionality on mobile viewport with expected UI state.</t>
        </is>
      </c>
      <c r="J162" s="23" t="inlineStr">
        <is>
          <t>PASS</t>
        </is>
      </c>
      <c r="K162" s="28" t="inlineStr">
        <is>
          <t>LOW</t>
        </is>
      </c>
      <c r="L162" s="20" t="n">
        <v>730</v>
      </c>
      <c r="M162" s="20" t="inlineStr">
        <is>
          <t>iOS Hybrid App</t>
        </is>
      </c>
      <c r="N162" s="20" t="inlineStr">
        <is>
          <t>Appium WebdriverIO</t>
        </is>
      </c>
    </row>
    <row r="163">
      <c r="A163" s="20" t="inlineStr">
        <is>
          <t>TC_LIB_005</t>
        </is>
      </c>
      <c r="B163" s="21" t="inlineStr">
        <is>
          <t>Crop Knowledge Base &amp; Library</t>
        </is>
      </c>
      <c r="C163" s="21" t="inlineStr">
        <is>
          <t>Performance</t>
        </is>
      </c>
      <c r="D163" s="21" t="inlineStr">
        <is>
          <t>Search Auto-complete</t>
        </is>
      </c>
      <c r="E163" s="21" t="inlineStr">
        <is>
          <t>Verify Search Auto-complete functionality on Android - Chrome - Case 5</t>
        </is>
      </c>
      <c r="F163" s="22" t="inlineStr">
        <is>
          <t>AgroVision web app running on Android - Chrome, User state initialized, Network connected.</t>
        </is>
      </c>
      <c r="G163" s="22" t="inlineStr">
        <is>
          <t>1. Launch browser on Android - Chrome
2. Navigate to /lib
3. Trigger action for Search Auto-complete
4. Verify DOM element response &amp; mobile touch feedback.</t>
        </is>
      </c>
      <c r="H163" s="22" t="inlineStr">
        <is>
          <t>Search Auto-complete renders correctly without breaking layout, updating state in &lt; 1.5s.</t>
        </is>
      </c>
      <c r="I163" s="22" t="inlineStr">
        <is>
          <t>Successfully verified Search Auto-complete functionality on mobile viewport with expected UI state.</t>
        </is>
      </c>
      <c r="J163" s="23" t="inlineStr">
        <is>
          <t>PASS</t>
        </is>
      </c>
      <c r="K163" s="24" t="inlineStr">
        <is>
          <t>CRITICAL</t>
        </is>
      </c>
      <c r="L163" s="20" t="n">
        <v>581</v>
      </c>
      <c r="M163" s="20" t="inlineStr">
        <is>
          <t>Android - Chrome</t>
        </is>
      </c>
      <c r="N163" s="20" t="inlineStr">
        <is>
          <t>Appium WebdriverIO</t>
        </is>
      </c>
    </row>
    <row r="164">
      <c r="A164" s="20" t="inlineStr">
        <is>
          <t>TC_LIB_006</t>
        </is>
      </c>
      <c r="B164" s="21" t="inlineStr">
        <is>
          <t>Crop Knowledge Base &amp; Library</t>
        </is>
      </c>
      <c r="C164" s="21" t="inlineStr">
        <is>
          <t>Security</t>
        </is>
      </c>
      <c r="D164" s="21" t="inlineStr">
        <is>
          <t>Bookmark Crops</t>
        </is>
      </c>
      <c r="E164" s="21" t="inlineStr">
        <is>
          <t>Verify Bookmark Crops functionality on iOS - Safari - Case 6</t>
        </is>
      </c>
      <c r="F164" s="22" t="inlineStr">
        <is>
          <t>AgroVision web app running on iOS - Safari, User state initialized, Network connected.</t>
        </is>
      </c>
      <c r="G164" s="22" t="inlineStr">
        <is>
          <t>1. Launch browser on iOS - Safari
2. Navigate to /lib
3. Trigger action for Bookmark Crops
4. Verify DOM element response &amp; mobile touch feedback.</t>
        </is>
      </c>
      <c r="H164" s="22" t="inlineStr">
        <is>
          <t>Bookmark Crops renders correctly without breaking layout, updating state in &lt; 1.5s.</t>
        </is>
      </c>
      <c r="I164" s="22" t="inlineStr">
        <is>
          <t>Successfully verified Bookmark Crops functionality on mobile viewport with expected UI state.</t>
        </is>
      </c>
      <c r="J164" s="23" t="inlineStr">
        <is>
          <t>PASS</t>
        </is>
      </c>
      <c r="K164" s="25" t="inlineStr">
        <is>
          <t>HIGH</t>
        </is>
      </c>
      <c r="L164" s="20" t="n">
        <v>1138</v>
      </c>
      <c r="M164" s="20" t="inlineStr">
        <is>
          <t>iOS - Safari</t>
        </is>
      </c>
      <c r="N164" s="20" t="inlineStr">
        <is>
          <t>Appium WebdriverIO</t>
        </is>
      </c>
    </row>
    <row r="165">
      <c r="A165" s="20" t="inlineStr">
        <is>
          <t>TC_LIB_007</t>
        </is>
      </c>
      <c r="B165" s="21" t="inlineStr">
        <is>
          <t>Crop Knowledge Base &amp; Library</t>
        </is>
      </c>
      <c r="C165" s="21" t="inlineStr">
        <is>
          <t>Accessibility</t>
        </is>
      </c>
      <c r="D165" s="21" t="inlineStr">
        <is>
          <t>Image Zoom Gallery</t>
        </is>
      </c>
      <c r="E165" s="21" t="inlineStr">
        <is>
          <t>Verify Image Zoom Gallery functionality on Android Native Webview - Case 7</t>
        </is>
      </c>
      <c r="F165" s="22" t="inlineStr">
        <is>
          <t>AgroVision web app running on Android Native Webview, User state initialized, Network connected.</t>
        </is>
      </c>
      <c r="G165" s="22" t="inlineStr">
        <is>
          <t>1. Launch browser on Android Native Webview
2. Navigate to /lib
3. Trigger action for Image Zoom Gallery
4. Verify DOM element response &amp; mobile touch feedback.</t>
        </is>
      </c>
      <c r="H165" s="22" t="inlineStr">
        <is>
          <t>Image Zoom Gallery renders correctly without breaking layout, updating state in &lt; 1.5s.</t>
        </is>
      </c>
      <c r="I165" s="22" t="inlineStr">
        <is>
          <t>Successfully verified Image Zoom Gallery functionality on mobile viewport with expected UI state.</t>
        </is>
      </c>
      <c r="J165" s="23" t="inlineStr">
        <is>
          <t>PASS</t>
        </is>
      </c>
      <c r="K165" s="27" t="inlineStr">
        <is>
          <t>MEDIUM</t>
        </is>
      </c>
      <c r="L165" s="20" t="n">
        <v>920</v>
      </c>
      <c r="M165" s="20" t="inlineStr">
        <is>
          <t>Android Native Webview</t>
        </is>
      </c>
      <c r="N165" s="20" t="inlineStr">
        <is>
          <t>Appium WebdriverIO</t>
        </is>
      </c>
    </row>
    <row r="166">
      <c r="A166" s="20" t="inlineStr">
        <is>
          <t>TC_LIB_008</t>
        </is>
      </c>
      <c r="B166" s="21" t="inlineStr">
        <is>
          <t>Crop Knowledge Base &amp; Library</t>
        </is>
      </c>
      <c r="C166" s="21" t="inlineStr">
        <is>
          <t>Functional</t>
        </is>
      </c>
      <c r="D166" s="21" t="inlineStr">
        <is>
          <t>Crop Catalog</t>
        </is>
      </c>
      <c r="E166" s="21" t="inlineStr">
        <is>
          <t>Verify Crop Catalog functionality on iOS Hybrid App - Case 8</t>
        </is>
      </c>
      <c r="F166" s="22" t="inlineStr">
        <is>
          <t>AgroVision web app running on iOS Hybrid App, User state initialized, Network connected.</t>
        </is>
      </c>
      <c r="G166" s="22" t="inlineStr">
        <is>
          <t>1. Launch browser on iOS Hybrid App
2. Navigate to /lib
3. Trigger action for Crop Catalog
4. Verify DOM element response &amp; mobile touch feedback.</t>
        </is>
      </c>
      <c r="H166" s="22" t="inlineStr">
        <is>
          <t>Crop Catalog renders correctly without breaking layout, updating state in &lt; 1.5s.</t>
        </is>
      </c>
      <c r="I166" s="22" t="inlineStr">
        <is>
          <t>Successfully verified Crop Catalog functionality on mobile viewport with expected UI state.</t>
        </is>
      </c>
      <c r="J166" s="23" t="inlineStr">
        <is>
          <t>PASS</t>
        </is>
      </c>
      <c r="K166" s="28" t="inlineStr">
        <is>
          <t>LOW</t>
        </is>
      </c>
      <c r="L166" s="20" t="n">
        <v>1195</v>
      </c>
      <c r="M166" s="20" t="inlineStr">
        <is>
          <t>iOS Hybrid App</t>
        </is>
      </c>
      <c r="N166" s="20" t="inlineStr">
        <is>
          <t>Appium WebdriverIO</t>
        </is>
      </c>
    </row>
    <row r="167">
      <c r="A167" s="20" t="inlineStr">
        <is>
          <t>TC_LIB_009</t>
        </is>
      </c>
      <c r="B167" s="21" t="inlineStr">
        <is>
          <t>Crop Knowledge Base &amp; Library</t>
        </is>
      </c>
      <c r="C167" s="21" t="inlineStr">
        <is>
          <t>UI Layout</t>
        </is>
      </c>
      <c r="D167" s="21" t="inlineStr">
        <is>
          <t>Disease Symptoms Guide</t>
        </is>
      </c>
      <c r="E167" s="21" t="inlineStr">
        <is>
          <t>Verify Disease Symptoms Guide functionality on Android - Chrome - Case 9</t>
        </is>
      </c>
      <c r="F167" s="22" t="inlineStr">
        <is>
          <t>AgroVision web app running on Android - Chrome, User state initialized, Network connected.</t>
        </is>
      </c>
      <c r="G167" s="22" t="inlineStr">
        <is>
          <t>1. Launch browser on Android - Chrome
2. Navigate to /lib
3. Trigger action for Disease Symptoms Guide
4. Verify DOM element response &amp; mobile touch feedback.</t>
        </is>
      </c>
      <c r="H167" s="22" t="inlineStr">
        <is>
          <t>Disease Symptoms Guide renders correctly without breaking layout, updating state in &lt; 1.5s.</t>
        </is>
      </c>
      <c r="I167" s="22" t="inlineStr">
        <is>
          <t>Successfully verified Disease Symptoms Guide functionality on mobile viewport with expected UI state.</t>
        </is>
      </c>
      <c r="J167" s="23" t="inlineStr">
        <is>
          <t>PASS</t>
        </is>
      </c>
      <c r="K167" s="24" t="inlineStr">
        <is>
          <t>CRITICAL</t>
        </is>
      </c>
      <c r="L167" s="20" t="n">
        <v>1135</v>
      </c>
      <c r="M167" s="20" t="inlineStr">
        <is>
          <t>Android - Chrome</t>
        </is>
      </c>
      <c r="N167" s="20" t="inlineStr">
        <is>
          <t>Appium WebdriverIO</t>
        </is>
      </c>
    </row>
    <row r="168">
      <c r="A168" s="20" t="inlineStr">
        <is>
          <t>TC_LIB_010</t>
        </is>
      </c>
      <c r="B168" s="21" t="inlineStr">
        <is>
          <t>Crop Knowledge Base &amp; Library</t>
        </is>
      </c>
      <c r="C168" s="21" t="inlineStr">
        <is>
          <t>Touch Gesture</t>
        </is>
      </c>
      <c r="D168" s="21" t="inlineStr">
        <is>
          <t>Preventive Remedies</t>
        </is>
      </c>
      <c r="E168" s="21" t="inlineStr">
        <is>
          <t>Verify Preventive Remedies functionality on iOS - Safari - Case 10</t>
        </is>
      </c>
      <c r="F168" s="22" t="inlineStr">
        <is>
          <t>AgroVision web app running on iOS - Safari, User state initialized, Network connected.</t>
        </is>
      </c>
      <c r="G168" s="22" t="inlineStr">
        <is>
          <t>1. Launch browser on iOS - Safari
2. Navigate to /lib
3. Trigger action for Preventive Remedies
4. Verify DOM element response &amp; mobile touch feedback.</t>
        </is>
      </c>
      <c r="H168" s="22" t="inlineStr">
        <is>
          <t>Preventive Remedies renders correctly without breaking layout, updating state in &lt; 1.5s.</t>
        </is>
      </c>
      <c r="I168" s="22" t="inlineStr">
        <is>
          <t>Successfully verified Preventive Remedies functionality on mobile viewport with expected UI state.</t>
        </is>
      </c>
      <c r="J168" s="23" t="inlineStr">
        <is>
          <t>PASS</t>
        </is>
      </c>
      <c r="K168" s="25" t="inlineStr">
        <is>
          <t>HIGH</t>
        </is>
      </c>
      <c r="L168" s="20" t="n">
        <v>490</v>
      </c>
      <c r="M168" s="20" t="inlineStr">
        <is>
          <t>iOS - Safari</t>
        </is>
      </c>
      <c r="N168" s="20" t="inlineStr">
        <is>
          <t>Appium WebdriverIO</t>
        </is>
      </c>
    </row>
    <row r="169">
      <c r="A169" s="20" t="inlineStr">
        <is>
          <t>TC_LIB_011</t>
        </is>
      </c>
      <c r="B169" s="21" t="inlineStr">
        <is>
          <t>Crop Knowledge Base &amp; Library</t>
        </is>
      </c>
      <c r="C169" s="21" t="inlineStr">
        <is>
          <t>Offline DB</t>
        </is>
      </c>
      <c r="D169" s="21" t="inlineStr">
        <is>
          <t>Fungicide Recommendations</t>
        </is>
      </c>
      <c r="E169" s="21" t="inlineStr">
        <is>
          <t>Verify Fungicide Recommendations functionality on Android Native Webview - Case 11</t>
        </is>
      </c>
      <c r="F169" s="22" t="inlineStr">
        <is>
          <t>AgroVision web app running on Android Native Webview, User state initialized, Network connected.</t>
        </is>
      </c>
      <c r="G169" s="22" t="inlineStr">
        <is>
          <t>1. Launch browser on Android Native Webview
2. Navigate to /lib
3. Trigger action for Fungicide Recommendations
4. Verify DOM element response &amp; mobile touch feedback.</t>
        </is>
      </c>
      <c r="H169" s="22" t="inlineStr">
        <is>
          <t>Fungicide Recommendations renders correctly without breaking layout, updating state in &lt; 1.5s.</t>
        </is>
      </c>
      <c r="I169" s="22" t="inlineStr">
        <is>
          <t>Successfully verified Fungicide Recommendations functionality on mobile viewport with expected UI state.</t>
        </is>
      </c>
      <c r="J169" s="23" t="inlineStr">
        <is>
          <t>PASS</t>
        </is>
      </c>
      <c r="K169" s="27" t="inlineStr">
        <is>
          <t>MEDIUM</t>
        </is>
      </c>
      <c r="L169" s="20" t="n">
        <v>931</v>
      </c>
      <c r="M169" s="20" t="inlineStr">
        <is>
          <t>Android Native Webview</t>
        </is>
      </c>
      <c r="N169" s="20" t="inlineStr">
        <is>
          <t>Appium WebdriverIO</t>
        </is>
      </c>
    </row>
    <row r="170">
      <c r="A170" s="20" t="inlineStr">
        <is>
          <t>TC_LIB_012</t>
        </is>
      </c>
      <c r="B170" s="21" t="inlineStr">
        <is>
          <t>Crop Knowledge Base &amp; Library</t>
        </is>
      </c>
      <c r="C170" s="21" t="inlineStr">
        <is>
          <t>Performance</t>
        </is>
      </c>
      <c r="D170" s="21" t="inlineStr">
        <is>
          <t>Search Auto-complete</t>
        </is>
      </c>
      <c r="E170" s="21" t="inlineStr">
        <is>
          <t>Verify Search Auto-complete functionality on iOS Hybrid App - Case 12</t>
        </is>
      </c>
      <c r="F170" s="22" t="inlineStr">
        <is>
          <t>AgroVision web app running on iOS Hybrid App, User state initialized, Network connected.</t>
        </is>
      </c>
      <c r="G170" s="22" t="inlineStr">
        <is>
          <t>1. Launch browser on iOS Hybrid App
2. Navigate to /lib
3. Trigger action for Search Auto-complete
4. Verify DOM element response &amp; mobile touch feedback.</t>
        </is>
      </c>
      <c r="H170" s="22" t="inlineStr">
        <is>
          <t>Search Auto-complete renders correctly without breaking layout, updating state in &lt; 1.5s.</t>
        </is>
      </c>
      <c r="I170" s="22" t="inlineStr">
        <is>
          <t>Successfully verified Search Auto-complete functionality on mobile viewport with expected UI state.</t>
        </is>
      </c>
      <c r="J170" s="23" t="inlineStr">
        <is>
          <t>PASS</t>
        </is>
      </c>
      <c r="K170" s="28" t="inlineStr">
        <is>
          <t>LOW</t>
        </is>
      </c>
      <c r="L170" s="20" t="n">
        <v>1372</v>
      </c>
      <c r="M170" s="20" t="inlineStr">
        <is>
          <t>iOS Hybrid App</t>
        </is>
      </c>
      <c r="N170" s="20" t="inlineStr">
        <is>
          <t>Appium WebdriverIO</t>
        </is>
      </c>
    </row>
    <row r="171">
      <c r="A171" s="20" t="inlineStr">
        <is>
          <t>TC_LIB_013</t>
        </is>
      </c>
      <c r="B171" s="21" t="inlineStr">
        <is>
          <t>Crop Knowledge Base &amp; Library</t>
        </is>
      </c>
      <c r="C171" s="21" t="inlineStr">
        <is>
          <t>Security</t>
        </is>
      </c>
      <c r="D171" s="21" t="inlineStr">
        <is>
          <t>Bookmark Crops</t>
        </is>
      </c>
      <c r="E171" s="21" t="inlineStr">
        <is>
          <t>Verify Bookmark Crops functionality on Android - Chrome - Case 13</t>
        </is>
      </c>
      <c r="F171" s="22" t="inlineStr">
        <is>
          <t>AgroVision web app running on Android - Chrome, User state initialized, Network connected.</t>
        </is>
      </c>
      <c r="G171" s="22" t="inlineStr">
        <is>
          <t>1. Launch browser on Android - Chrome
2. Navigate to /lib
3. Trigger action for Bookmark Crops
4. Verify DOM element response &amp; mobile touch feedback.</t>
        </is>
      </c>
      <c r="H171" s="22" t="inlineStr">
        <is>
          <t>Bookmark Crops renders correctly without breaking layout, updating state in &lt; 1.5s.</t>
        </is>
      </c>
      <c r="I171" s="22" t="inlineStr">
        <is>
          <t>Successfully verified Bookmark Crops functionality on mobile viewport with expected UI state.</t>
        </is>
      </c>
      <c r="J171" s="23" t="inlineStr">
        <is>
          <t>PASS</t>
        </is>
      </c>
      <c r="K171" s="24" t="inlineStr">
        <is>
          <t>CRITICAL</t>
        </is>
      </c>
      <c r="L171" s="20" t="n">
        <v>818</v>
      </c>
      <c r="M171" s="20" t="inlineStr">
        <is>
          <t>Android - Chrome</t>
        </is>
      </c>
      <c r="N171" s="20" t="inlineStr">
        <is>
          <t>Appium WebdriverIO</t>
        </is>
      </c>
    </row>
    <row r="172">
      <c r="A172" s="20" t="inlineStr">
        <is>
          <t>TC_LIB_014</t>
        </is>
      </c>
      <c r="B172" s="21" t="inlineStr">
        <is>
          <t>Crop Knowledge Base &amp; Library</t>
        </is>
      </c>
      <c r="C172" s="21" t="inlineStr">
        <is>
          <t>Accessibility</t>
        </is>
      </c>
      <c r="D172" s="21" t="inlineStr">
        <is>
          <t>Image Zoom Gallery</t>
        </is>
      </c>
      <c r="E172" s="21" t="inlineStr">
        <is>
          <t>Verify Image Zoom Gallery functionality on iOS - Safari - Case 14</t>
        </is>
      </c>
      <c r="F172" s="22" t="inlineStr">
        <is>
          <t>AgroVision web app running on iOS - Safari, User state initialized, Network connected.</t>
        </is>
      </c>
      <c r="G172" s="22" t="inlineStr">
        <is>
          <t>1. Launch browser on iOS - Safari
2. Navigate to /lib
3. Trigger action for Image Zoom Gallery
4. Verify DOM element response &amp; mobile touch feedback.</t>
        </is>
      </c>
      <c r="H172" s="22" t="inlineStr">
        <is>
          <t>Image Zoom Gallery renders correctly without breaking layout, updating state in &lt; 1.5s.</t>
        </is>
      </c>
      <c r="I172" s="22" t="inlineStr">
        <is>
          <t>Successfully verified Image Zoom Gallery functionality on mobile viewport with expected UI state.</t>
        </is>
      </c>
      <c r="J172" s="23" t="inlineStr">
        <is>
          <t>PASS</t>
        </is>
      </c>
      <c r="K172" s="25" t="inlineStr">
        <is>
          <t>HIGH</t>
        </is>
      </c>
      <c r="L172" s="20" t="n">
        <v>908</v>
      </c>
      <c r="M172" s="20" t="inlineStr">
        <is>
          <t>iOS - Safari</t>
        </is>
      </c>
      <c r="N172" s="20" t="inlineStr">
        <is>
          <t>Appium WebdriverIO</t>
        </is>
      </c>
    </row>
    <row r="173">
      <c r="A173" s="20" t="inlineStr">
        <is>
          <t>TC_LIB_015</t>
        </is>
      </c>
      <c r="B173" s="21" t="inlineStr">
        <is>
          <t>Crop Knowledge Base &amp; Library</t>
        </is>
      </c>
      <c r="C173" s="21" t="inlineStr">
        <is>
          <t>Functional</t>
        </is>
      </c>
      <c r="D173" s="21" t="inlineStr">
        <is>
          <t>Crop Catalog</t>
        </is>
      </c>
      <c r="E173" s="21" t="inlineStr">
        <is>
          <t>Verify Crop Catalog functionality on Android Native Webview - Case 15</t>
        </is>
      </c>
      <c r="F173" s="22" t="inlineStr">
        <is>
          <t>AgroVision web app running on Android Native Webview, User state initialized, Network connected.</t>
        </is>
      </c>
      <c r="G173" s="22" t="inlineStr">
        <is>
          <t>1. Launch browser on Android Native Webview
2. Navigate to /lib
3. Trigger action for Crop Catalog
4. Verify DOM element response &amp; mobile touch feedback.</t>
        </is>
      </c>
      <c r="H173" s="22" t="inlineStr">
        <is>
          <t>Crop Catalog renders correctly without breaking layout, updating state in &lt; 1.5s.</t>
        </is>
      </c>
      <c r="I173" s="22" t="inlineStr">
        <is>
          <t>Successfully verified Crop Catalog functionality on mobile viewport with expected UI state.</t>
        </is>
      </c>
      <c r="J173" s="23" t="inlineStr">
        <is>
          <t>PASS</t>
        </is>
      </c>
      <c r="K173" s="27" t="inlineStr">
        <is>
          <t>MEDIUM</t>
        </is>
      </c>
      <c r="L173" s="20" t="n">
        <v>1262</v>
      </c>
      <c r="M173" s="20" t="inlineStr">
        <is>
          <t>Android Native Webview</t>
        </is>
      </c>
      <c r="N173" s="20" t="inlineStr">
        <is>
          <t>Appium WebdriverIO</t>
        </is>
      </c>
    </row>
    <row r="174">
      <c r="A174" s="20" t="inlineStr">
        <is>
          <t>TC_LIB_016</t>
        </is>
      </c>
      <c r="B174" s="21" t="inlineStr">
        <is>
          <t>Crop Knowledge Base &amp; Library</t>
        </is>
      </c>
      <c r="C174" s="21" t="inlineStr">
        <is>
          <t>UI Layout</t>
        </is>
      </c>
      <c r="D174" s="21" t="inlineStr">
        <is>
          <t>Disease Symptoms Guide</t>
        </is>
      </c>
      <c r="E174" s="21" t="inlineStr">
        <is>
          <t>Verify Disease Symptoms Guide functionality on iOS Hybrid App - Case 16</t>
        </is>
      </c>
      <c r="F174" s="22" t="inlineStr">
        <is>
          <t>AgroVision web app running on iOS Hybrid App, User state initialized, Network connected.</t>
        </is>
      </c>
      <c r="G174" s="22" t="inlineStr">
        <is>
          <t>1. Launch browser on iOS Hybrid App
2. Navigate to /lib
3. Trigger action for Disease Symptoms Guide
4. Verify DOM element response &amp; mobile touch feedback.</t>
        </is>
      </c>
      <c r="H174" s="22" t="inlineStr">
        <is>
          <t>Disease Symptoms Guide renders correctly without breaking layout, updating state in &lt; 1.5s.</t>
        </is>
      </c>
      <c r="I174" s="22" t="inlineStr">
        <is>
          <t>Successfully verified Disease Symptoms Guide functionality on mobile viewport with expected UI state.</t>
        </is>
      </c>
      <c r="J174" s="23" t="inlineStr">
        <is>
          <t>PASS</t>
        </is>
      </c>
      <c r="K174" s="28" t="inlineStr">
        <is>
          <t>LOW</t>
        </is>
      </c>
      <c r="L174" s="20" t="n">
        <v>1180</v>
      </c>
      <c r="M174" s="20" t="inlineStr">
        <is>
          <t>iOS Hybrid App</t>
        </is>
      </c>
      <c r="N174" s="20" t="inlineStr">
        <is>
          <t>Appium WebdriverIO</t>
        </is>
      </c>
    </row>
    <row r="175">
      <c r="A175" s="20" t="inlineStr">
        <is>
          <t>TC_LIB_017</t>
        </is>
      </c>
      <c r="B175" s="21" t="inlineStr">
        <is>
          <t>Crop Knowledge Base &amp; Library</t>
        </is>
      </c>
      <c r="C175" s="21" t="inlineStr">
        <is>
          <t>Touch Gesture</t>
        </is>
      </c>
      <c r="D175" s="21" t="inlineStr">
        <is>
          <t>Preventive Remedies</t>
        </is>
      </c>
      <c r="E175" s="21" t="inlineStr">
        <is>
          <t>Verify Preventive Remedies functionality on Android - Chrome - Case 17</t>
        </is>
      </c>
      <c r="F175" s="22" t="inlineStr">
        <is>
          <t>AgroVision web app running on Android - Chrome, User state initialized, Network connected.</t>
        </is>
      </c>
      <c r="G175" s="22" t="inlineStr">
        <is>
          <t>1. Launch browser on Android - Chrome
2. Navigate to /lib
3. Trigger action for Preventive Remedies
4. Verify DOM element response &amp; mobile touch feedback.</t>
        </is>
      </c>
      <c r="H175" s="22" t="inlineStr">
        <is>
          <t>Preventive Remedies renders correctly without breaking layout, updating state in &lt; 1.5s.</t>
        </is>
      </c>
      <c r="I175" s="22" t="inlineStr">
        <is>
          <t>Successfully verified Preventive Remedies functionality on mobile viewport with expected UI state.</t>
        </is>
      </c>
      <c r="J175" s="23" t="inlineStr">
        <is>
          <t>PASS</t>
        </is>
      </c>
      <c r="K175" s="24" t="inlineStr">
        <is>
          <t>CRITICAL</t>
        </is>
      </c>
      <c r="L175" s="20" t="n">
        <v>854</v>
      </c>
      <c r="M175" s="20" t="inlineStr">
        <is>
          <t>Android - Chrome</t>
        </is>
      </c>
      <c r="N175" s="20" t="inlineStr">
        <is>
          <t>Appium WebdriverIO</t>
        </is>
      </c>
    </row>
    <row r="176">
      <c r="A176" s="20" t="inlineStr">
        <is>
          <t>TC_LIB_018</t>
        </is>
      </c>
      <c r="B176" s="21" t="inlineStr">
        <is>
          <t>Crop Knowledge Base &amp; Library</t>
        </is>
      </c>
      <c r="C176" s="21" t="inlineStr">
        <is>
          <t>Offline DB</t>
        </is>
      </c>
      <c r="D176" s="21" t="inlineStr">
        <is>
          <t>Fungicide Recommendations</t>
        </is>
      </c>
      <c r="E176" s="21" t="inlineStr">
        <is>
          <t>Verify Fungicide Recommendations functionality on iOS - Safari - Case 18</t>
        </is>
      </c>
      <c r="F176" s="22" t="inlineStr">
        <is>
          <t>AgroVision web app running on iOS - Safari, User state initialized, Network connected.</t>
        </is>
      </c>
      <c r="G176" s="22" t="inlineStr">
        <is>
          <t>1. Launch browser on iOS - Safari
2. Navigate to /lib
3. Trigger action for Fungicide Recommendations
4. Verify DOM element response &amp; mobile touch feedback.</t>
        </is>
      </c>
      <c r="H176" s="22" t="inlineStr">
        <is>
          <t>Fungicide Recommendations renders correctly without breaking layout, updating state in &lt; 1.5s.</t>
        </is>
      </c>
      <c r="I176" s="22" t="inlineStr">
        <is>
          <t>Successfully verified Fungicide Recommendations functionality on mobile viewport with expected UI state.</t>
        </is>
      </c>
      <c r="J176" s="23" t="inlineStr">
        <is>
          <t>PASS</t>
        </is>
      </c>
      <c r="K176" s="25" t="inlineStr">
        <is>
          <t>HIGH</t>
        </is>
      </c>
      <c r="L176" s="20" t="n">
        <v>982</v>
      </c>
      <c r="M176" s="20" t="inlineStr">
        <is>
          <t>iOS - Safari</t>
        </is>
      </c>
      <c r="N176" s="20" t="inlineStr">
        <is>
          <t>Appium WebdriverIO</t>
        </is>
      </c>
    </row>
    <row r="177">
      <c r="A177" s="20" t="inlineStr">
        <is>
          <t>TC_LIB_019</t>
        </is>
      </c>
      <c r="B177" s="21" t="inlineStr">
        <is>
          <t>Crop Knowledge Base &amp; Library</t>
        </is>
      </c>
      <c r="C177" s="21" t="inlineStr">
        <is>
          <t>Performance</t>
        </is>
      </c>
      <c r="D177" s="21" t="inlineStr">
        <is>
          <t>Search Auto-complete</t>
        </is>
      </c>
      <c r="E177" s="21" t="inlineStr">
        <is>
          <t>Verify Search Auto-complete functionality on Android Native Webview - Case 19</t>
        </is>
      </c>
      <c r="F177" s="22" t="inlineStr">
        <is>
          <t>AgroVision web app running on Android Native Webview, User state initialized, Network connected.</t>
        </is>
      </c>
      <c r="G177" s="22" t="inlineStr">
        <is>
          <t>1. Launch browser on Android Native Webview
2. Navigate to /lib
3. Trigger action for Search Auto-complete
4. Verify DOM element response &amp; mobile touch feedback.</t>
        </is>
      </c>
      <c r="H177" s="22" t="inlineStr">
        <is>
          <t>Search Auto-complete renders correctly without breaking layout, updating state in &lt; 1.5s.</t>
        </is>
      </c>
      <c r="I177" s="22" t="inlineStr">
        <is>
          <t>Touch gesture response delayed (&gt;1500ms) on Search Auto-complete during low memory state.</t>
        </is>
      </c>
      <c r="J177" s="26" t="inlineStr">
        <is>
          <t>FAIL</t>
        </is>
      </c>
      <c r="K177" s="27" t="inlineStr">
        <is>
          <t>MEDIUM</t>
        </is>
      </c>
      <c r="L177" s="20" t="n">
        <v>483</v>
      </c>
      <c r="M177" s="20" t="inlineStr">
        <is>
          <t>Android Native Webview</t>
        </is>
      </c>
      <c r="N177" s="20" t="inlineStr">
        <is>
          <t>Appium WebdriverIO</t>
        </is>
      </c>
    </row>
    <row r="178">
      <c r="A178" s="20" t="inlineStr">
        <is>
          <t>TC_LIB_020</t>
        </is>
      </c>
      <c r="B178" s="21" t="inlineStr">
        <is>
          <t>Crop Knowledge Base &amp; Library</t>
        </is>
      </c>
      <c r="C178" s="21" t="inlineStr">
        <is>
          <t>Security</t>
        </is>
      </c>
      <c r="D178" s="21" t="inlineStr">
        <is>
          <t>Bookmark Crops</t>
        </is>
      </c>
      <c r="E178" s="21" t="inlineStr">
        <is>
          <t>Verify Bookmark Crops functionality on iOS Hybrid App - Case 20</t>
        </is>
      </c>
      <c r="F178" s="22" t="inlineStr">
        <is>
          <t>AgroVision web app running on iOS Hybrid App, User state initialized, Network connected.</t>
        </is>
      </c>
      <c r="G178" s="22" t="inlineStr">
        <is>
          <t>1. Launch browser on iOS Hybrid App
2. Navigate to /lib
3. Trigger action for Bookmark Crops
4. Verify DOM element response &amp; mobile touch feedback.</t>
        </is>
      </c>
      <c r="H178" s="22" t="inlineStr">
        <is>
          <t>Bookmark Crops renders correctly without breaking layout, updating state in &lt; 1.5s.</t>
        </is>
      </c>
      <c r="I178" s="22" t="inlineStr">
        <is>
          <t>Successfully verified Bookmark Crops functionality on mobile viewport with expected UI state.</t>
        </is>
      </c>
      <c r="J178" s="23" t="inlineStr">
        <is>
          <t>PASS</t>
        </is>
      </c>
      <c r="K178" s="28" t="inlineStr">
        <is>
          <t>LOW</t>
        </is>
      </c>
      <c r="L178" s="20" t="n">
        <v>868</v>
      </c>
      <c r="M178" s="20" t="inlineStr">
        <is>
          <t>iOS Hybrid App</t>
        </is>
      </c>
      <c r="N178" s="20" t="inlineStr">
        <is>
          <t>Appium WebdriverIO</t>
        </is>
      </c>
    </row>
    <row r="179">
      <c r="A179" s="20" t="inlineStr">
        <is>
          <t>TC_LIB_021</t>
        </is>
      </c>
      <c r="B179" s="21" t="inlineStr">
        <is>
          <t>Crop Knowledge Base &amp; Library</t>
        </is>
      </c>
      <c r="C179" s="21" t="inlineStr">
        <is>
          <t>Accessibility</t>
        </is>
      </c>
      <c r="D179" s="21" t="inlineStr">
        <is>
          <t>Image Zoom Gallery</t>
        </is>
      </c>
      <c r="E179" s="21" t="inlineStr">
        <is>
          <t>Verify Image Zoom Gallery functionality on Android - Chrome - Case 21</t>
        </is>
      </c>
      <c r="F179" s="22" t="inlineStr">
        <is>
          <t>AgroVision web app running on Android - Chrome, User state initialized, Network connected.</t>
        </is>
      </c>
      <c r="G179" s="22" t="inlineStr">
        <is>
          <t>1. Launch browser on Android - Chrome
2. Navigate to /lib
3. Trigger action for Image Zoom Gallery
4. Verify DOM element response &amp; mobile touch feedback.</t>
        </is>
      </c>
      <c r="H179" s="22" t="inlineStr">
        <is>
          <t>Image Zoom Gallery renders correctly without breaking layout, updating state in &lt; 1.5s.</t>
        </is>
      </c>
      <c r="I179" s="22" t="inlineStr">
        <is>
          <t>Successfully verified Image Zoom Gallery functionality on mobile viewport with expected UI state.</t>
        </is>
      </c>
      <c r="J179" s="23" t="inlineStr">
        <is>
          <t>PASS</t>
        </is>
      </c>
      <c r="K179" s="24" t="inlineStr">
        <is>
          <t>CRITICAL</t>
        </is>
      </c>
      <c r="L179" s="20" t="n">
        <v>1454</v>
      </c>
      <c r="M179" s="20" t="inlineStr">
        <is>
          <t>Android - Chrome</t>
        </is>
      </c>
      <c r="N179" s="20" t="inlineStr">
        <is>
          <t>Appium WebdriverIO</t>
        </is>
      </c>
    </row>
    <row r="180">
      <c r="A180" s="20" t="inlineStr">
        <is>
          <t>TC_LIB_022</t>
        </is>
      </c>
      <c r="B180" s="21" t="inlineStr">
        <is>
          <t>Crop Knowledge Base &amp; Library</t>
        </is>
      </c>
      <c r="C180" s="21" t="inlineStr">
        <is>
          <t>Functional</t>
        </is>
      </c>
      <c r="D180" s="21" t="inlineStr">
        <is>
          <t>Crop Catalog</t>
        </is>
      </c>
      <c r="E180" s="21" t="inlineStr">
        <is>
          <t>Verify Crop Catalog functionality on iOS - Safari - Case 22</t>
        </is>
      </c>
      <c r="F180" s="22" t="inlineStr">
        <is>
          <t>AgroVision web app running on iOS - Safari, User state initialized, Network connected.</t>
        </is>
      </c>
      <c r="G180" s="22" t="inlineStr">
        <is>
          <t>1. Launch browser on iOS - Safari
2. Navigate to /lib
3. Trigger action for Crop Catalog
4. Verify DOM element response &amp; mobile touch feedback.</t>
        </is>
      </c>
      <c r="H180" s="22" t="inlineStr">
        <is>
          <t>Crop Catalog renders correctly without breaking layout, updating state in &lt; 1.5s.</t>
        </is>
      </c>
      <c r="I180" s="22" t="inlineStr">
        <is>
          <t>Successfully verified Crop Catalog functionality on mobile viewport with expected UI state.</t>
        </is>
      </c>
      <c r="J180" s="23" t="inlineStr">
        <is>
          <t>PASS</t>
        </is>
      </c>
      <c r="K180" s="25" t="inlineStr">
        <is>
          <t>HIGH</t>
        </is>
      </c>
      <c r="L180" s="20" t="n">
        <v>1170</v>
      </c>
      <c r="M180" s="20" t="inlineStr">
        <is>
          <t>iOS - Safari</t>
        </is>
      </c>
      <c r="N180" s="20" t="inlineStr">
        <is>
          <t>Appium WebdriverIO</t>
        </is>
      </c>
    </row>
    <row r="181">
      <c r="A181" s="20" t="inlineStr">
        <is>
          <t>TC_LIB_023</t>
        </is>
      </c>
      <c r="B181" s="21" t="inlineStr">
        <is>
          <t>Crop Knowledge Base &amp; Library</t>
        </is>
      </c>
      <c r="C181" s="21" t="inlineStr">
        <is>
          <t>UI Layout</t>
        </is>
      </c>
      <c r="D181" s="21" t="inlineStr">
        <is>
          <t>Disease Symptoms Guide</t>
        </is>
      </c>
      <c r="E181" s="21" t="inlineStr">
        <is>
          <t>Verify Disease Symptoms Guide functionality on Android Native Webview - Case 23</t>
        </is>
      </c>
      <c r="F181" s="22" t="inlineStr">
        <is>
          <t>AgroVision web app running on Android Native Webview, User state initialized, Network connected.</t>
        </is>
      </c>
      <c r="G181" s="22" t="inlineStr">
        <is>
          <t>1. Launch browser on Android Native Webview
2. Navigate to /lib
3. Trigger action for Disease Symptoms Guide
4. Verify DOM element response &amp; mobile touch feedback.</t>
        </is>
      </c>
      <c r="H181" s="22" t="inlineStr">
        <is>
          <t>Disease Symptoms Guide renders correctly without breaking layout, updating state in &lt; 1.5s.</t>
        </is>
      </c>
      <c r="I181" s="22" t="inlineStr">
        <is>
          <t>Successfully verified Disease Symptoms Guide functionality on mobile viewport with expected UI state.</t>
        </is>
      </c>
      <c r="J181" s="23" t="inlineStr">
        <is>
          <t>PASS</t>
        </is>
      </c>
      <c r="K181" s="27" t="inlineStr">
        <is>
          <t>MEDIUM</t>
        </is>
      </c>
      <c r="L181" s="20" t="n">
        <v>1222</v>
      </c>
      <c r="M181" s="20" t="inlineStr">
        <is>
          <t>Android Native Webview</t>
        </is>
      </c>
      <c r="N181" s="20" t="inlineStr">
        <is>
          <t>Appium WebdriverIO</t>
        </is>
      </c>
    </row>
    <row r="182">
      <c r="A182" s="20" t="inlineStr">
        <is>
          <t>TC_LIB_024</t>
        </is>
      </c>
      <c r="B182" s="21" t="inlineStr">
        <is>
          <t>Crop Knowledge Base &amp; Library</t>
        </is>
      </c>
      <c r="C182" s="21" t="inlineStr">
        <is>
          <t>Touch Gesture</t>
        </is>
      </c>
      <c r="D182" s="21" t="inlineStr">
        <is>
          <t>Preventive Remedies</t>
        </is>
      </c>
      <c r="E182" s="21" t="inlineStr">
        <is>
          <t>Verify Preventive Remedies functionality on iOS Hybrid App - Case 24</t>
        </is>
      </c>
      <c r="F182" s="22" t="inlineStr">
        <is>
          <t>AgroVision web app running on iOS Hybrid App, User state initialized, Network connected.</t>
        </is>
      </c>
      <c r="G182" s="22" t="inlineStr">
        <is>
          <t>1. Launch browser on iOS Hybrid App
2. Navigate to /lib
3. Trigger action for Preventive Remedies
4. Verify DOM element response &amp; mobile touch feedback.</t>
        </is>
      </c>
      <c r="H182" s="22" t="inlineStr">
        <is>
          <t>Preventive Remedies renders correctly without breaking layout, updating state in &lt; 1.5s.</t>
        </is>
      </c>
      <c r="I182" s="22" t="inlineStr">
        <is>
          <t>Successfully verified Preventive Remedies functionality on mobile viewport with expected UI state.</t>
        </is>
      </c>
      <c r="J182" s="23" t="inlineStr">
        <is>
          <t>PASS</t>
        </is>
      </c>
      <c r="K182" s="28" t="inlineStr">
        <is>
          <t>LOW</t>
        </is>
      </c>
      <c r="L182" s="20" t="n">
        <v>1486</v>
      </c>
      <c r="M182" s="20" t="inlineStr">
        <is>
          <t>iOS Hybrid App</t>
        </is>
      </c>
      <c r="N182" s="20" t="inlineStr">
        <is>
          <t>Appium WebdriverIO</t>
        </is>
      </c>
    </row>
    <row r="183">
      <c r="A183" s="20" t="inlineStr">
        <is>
          <t>TC_LIB_025</t>
        </is>
      </c>
      <c r="B183" s="21" t="inlineStr">
        <is>
          <t>Crop Knowledge Base &amp; Library</t>
        </is>
      </c>
      <c r="C183" s="21" t="inlineStr">
        <is>
          <t>Offline DB</t>
        </is>
      </c>
      <c r="D183" s="21" t="inlineStr">
        <is>
          <t>Fungicide Recommendations</t>
        </is>
      </c>
      <c r="E183" s="21" t="inlineStr">
        <is>
          <t>Verify Fungicide Recommendations functionality on Android - Chrome - Case 25</t>
        </is>
      </c>
      <c r="F183" s="22" t="inlineStr">
        <is>
          <t>AgroVision web app running on Android - Chrome, User state initialized, Network connected.</t>
        </is>
      </c>
      <c r="G183" s="22" t="inlineStr">
        <is>
          <t>1. Launch browser on Android - Chrome
2. Navigate to /lib
3. Trigger action for Fungicide Recommendations
4. Verify DOM element response &amp; mobile touch feedback.</t>
        </is>
      </c>
      <c r="H183" s="22" t="inlineStr">
        <is>
          <t>Fungicide Recommendations renders correctly without breaking layout, updating state in &lt; 1.5s.</t>
        </is>
      </c>
      <c r="I183" s="22" t="inlineStr">
        <is>
          <t>Successfully verified Fungicide Recommendations functionality on mobile viewport with expected UI state.</t>
        </is>
      </c>
      <c r="J183" s="23" t="inlineStr">
        <is>
          <t>PASS</t>
        </is>
      </c>
      <c r="K183" s="24" t="inlineStr">
        <is>
          <t>CRITICAL</t>
        </is>
      </c>
      <c r="L183" s="20" t="n">
        <v>328</v>
      </c>
      <c r="M183" s="20" t="inlineStr">
        <is>
          <t>Android - Chrome</t>
        </is>
      </c>
      <c r="N183" s="20" t="inlineStr">
        <is>
          <t>Appium WebdriverIO</t>
        </is>
      </c>
    </row>
    <row r="184">
      <c r="A184" s="20" t="inlineStr">
        <is>
          <t>TC_LIB_026</t>
        </is>
      </c>
      <c r="B184" s="21" t="inlineStr">
        <is>
          <t>Crop Knowledge Base &amp; Library</t>
        </is>
      </c>
      <c r="C184" s="21" t="inlineStr">
        <is>
          <t>Performance</t>
        </is>
      </c>
      <c r="D184" s="21" t="inlineStr">
        <is>
          <t>Search Auto-complete</t>
        </is>
      </c>
      <c r="E184" s="21" t="inlineStr">
        <is>
          <t>Verify Search Auto-complete functionality on iOS - Safari - Case 26</t>
        </is>
      </c>
      <c r="F184" s="22" t="inlineStr">
        <is>
          <t>AgroVision web app running on iOS - Safari, User state initialized, Network connected.</t>
        </is>
      </c>
      <c r="G184" s="22" t="inlineStr">
        <is>
          <t>1. Launch browser on iOS - Safari
2. Navigate to /lib
3. Trigger action for Search Auto-complete
4. Verify DOM element response &amp; mobile touch feedback.</t>
        </is>
      </c>
      <c r="H184" s="22" t="inlineStr">
        <is>
          <t>Search Auto-complete renders correctly without breaking layout, updating state in &lt; 1.5s.</t>
        </is>
      </c>
      <c r="I184" s="22" t="inlineStr">
        <is>
          <t>Successfully verified Search Auto-complete functionality on mobile viewport with expected UI state.</t>
        </is>
      </c>
      <c r="J184" s="23" t="inlineStr">
        <is>
          <t>PASS</t>
        </is>
      </c>
      <c r="K184" s="25" t="inlineStr">
        <is>
          <t>HIGH</t>
        </is>
      </c>
      <c r="L184" s="20" t="n">
        <v>702</v>
      </c>
      <c r="M184" s="20" t="inlineStr">
        <is>
          <t>iOS - Safari</t>
        </is>
      </c>
      <c r="N184" s="20" t="inlineStr">
        <is>
          <t>Appium WebdriverIO</t>
        </is>
      </c>
    </row>
    <row r="185">
      <c r="A185" s="20" t="inlineStr">
        <is>
          <t>TC_LIB_027</t>
        </is>
      </c>
      <c r="B185" s="21" t="inlineStr">
        <is>
          <t>Crop Knowledge Base &amp; Library</t>
        </is>
      </c>
      <c r="C185" s="21" t="inlineStr">
        <is>
          <t>Security</t>
        </is>
      </c>
      <c r="D185" s="21" t="inlineStr">
        <is>
          <t>Bookmark Crops</t>
        </is>
      </c>
      <c r="E185" s="21" t="inlineStr">
        <is>
          <t>Verify Bookmark Crops functionality on Android Native Webview - Case 27</t>
        </is>
      </c>
      <c r="F185" s="22" t="inlineStr">
        <is>
          <t>AgroVision web app running on Android Native Webview, User state initialized, Network connected.</t>
        </is>
      </c>
      <c r="G185" s="22" t="inlineStr">
        <is>
          <t>1. Launch browser on Android Native Webview
2. Navigate to /lib
3. Trigger action for Bookmark Crops
4. Verify DOM element response &amp; mobile touch feedback.</t>
        </is>
      </c>
      <c r="H185" s="22" t="inlineStr">
        <is>
          <t>Bookmark Crops renders correctly without breaking layout, updating state in &lt; 1.5s.</t>
        </is>
      </c>
      <c r="I185" s="22" t="inlineStr">
        <is>
          <t>Successfully verified Bookmark Crops functionality on mobile viewport with expected UI state.</t>
        </is>
      </c>
      <c r="J185" s="23" t="inlineStr">
        <is>
          <t>PASS</t>
        </is>
      </c>
      <c r="K185" s="27" t="inlineStr">
        <is>
          <t>MEDIUM</t>
        </is>
      </c>
      <c r="L185" s="20" t="n">
        <v>570</v>
      </c>
      <c r="M185" s="20" t="inlineStr">
        <is>
          <t>Android Native Webview</t>
        </is>
      </c>
      <c r="N185" s="20" t="inlineStr">
        <is>
          <t>Appium WebdriverIO</t>
        </is>
      </c>
    </row>
    <row r="186">
      <c r="A186" s="20" t="inlineStr">
        <is>
          <t>TC_LIB_028</t>
        </is>
      </c>
      <c r="B186" s="21" t="inlineStr">
        <is>
          <t>Crop Knowledge Base &amp; Library</t>
        </is>
      </c>
      <c r="C186" s="21" t="inlineStr">
        <is>
          <t>Accessibility</t>
        </is>
      </c>
      <c r="D186" s="21" t="inlineStr">
        <is>
          <t>Image Zoom Gallery</t>
        </is>
      </c>
      <c r="E186" s="21" t="inlineStr">
        <is>
          <t>Verify Image Zoom Gallery functionality on iOS Hybrid App - Case 28</t>
        </is>
      </c>
      <c r="F186" s="22" t="inlineStr">
        <is>
          <t>AgroVision web app running on iOS Hybrid App, User state initialized, Network connected.</t>
        </is>
      </c>
      <c r="G186" s="22" t="inlineStr">
        <is>
          <t>1. Launch browser on iOS Hybrid App
2. Navigate to /lib
3. Trigger action for Image Zoom Gallery
4. Verify DOM element response &amp; mobile touch feedback.</t>
        </is>
      </c>
      <c r="H186" s="22" t="inlineStr">
        <is>
          <t>Image Zoom Gallery renders correctly without breaking layout, updating state in &lt; 1.5s.</t>
        </is>
      </c>
      <c r="I186" s="22" t="inlineStr">
        <is>
          <t>Successfully verified Image Zoom Gallery functionality on mobile viewport with expected UI state.</t>
        </is>
      </c>
      <c r="J186" s="23" t="inlineStr">
        <is>
          <t>PASS</t>
        </is>
      </c>
      <c r="K186" s="28" t="inlineStr">
        <is>
          <t>LOW</t>
        </is>
      </c>
      <c r="L186" s="20" t="n">
        <v>1585</v>
      </c>
      <c r="M186" s="20" t="inlineStr">
        <is>
          <t>iOS Hybrid App</t>
        </is>
      </c>
      <c r="N186" s="20" t="inlineStr">
        <is>
          <t>Appium WebdriverIO</t>
        </is>
      </c>
    </row>
    <row r="187">
      <c r="A187" s="20" t="inlineStr">
        <is>
          <t>TC_LIB_029</t>
        </is>
      </c>
      <c r="B187" s="21" t="inlineStr">
        <is>
          <t>Crop Knowledge Base &amp; Library</t>
        </is>
      </c>
      <c r="C187" s="21" t="inlineStr">
        <is>
          <t>Functional</t>
        </is>
      </c>
      <c r="D187" s="21" t="inlineStr">
        <is>
          <t>Crop Catalog</t>
        </is>
      </c>
      <c r="E187" s="21" t="inlineStr">
        <is>
          <t>Verify Crop Catalog functionality on Android - Chrome - Case 29</t>
        </is>
      </c>
      <c r="F187" s="22" t="inlineStr">
        <is>
          <t>AgroVision web app running on Android - Chrome, User state initialized, Network connected.</t>
        </is>
      </c>
      <c r="G187" s="22" t="inlineStr">
        <is>
          <t>1. Launch browser on Android - Chrome
2. Navigate to /lib
3. Trigger action for Crop Catalog
4. Verify DOM element response &amp; mobile touch feedback.</t>
        </is>
      </c>
      <c r="H187" s="22" t="inlineStr">
        <is>
          <t>Crop Catalog renders correctly without breaking layout, updating state in &lt; 1.5s.</t>
        </is>
      </c>
      <c r="I187" s="22" t="inlineStr">
        <is>
          <t>Successfully verified Crop Catalog functionality on mobile viewport with expected UI state.</t>
        </is>
      </c>
      <c r="J187" s="23" t="inlineStr">
        <is>
          <t>PASS</t>
        </is>
      </c>
      <c r="K187" s="24" t="inlineStr">
        <is>
          <t>CRITICAL</t>
        </is>
      </c>
      <c r="L187" s="20" t="n">
        <v>617</v>
      </c>
      <c r="M187" s="20" t="inlineStr">
        <is>
          <t>Android - Chrome</t>
        </is>
      </c>
      <c r="N187" s="20" t="inlineStr">
        <is>
          <t>Appium WebdriverIO</t>
        </is>
      </c>
    </row>
    <row r="188">
      <c r="A188" s="20" t="inlineStr">
        <is>
          <t>TC_LIB_030</t>
        </is>
      </c>
      <c r="B188" s="21" t="inlineStr">
        <is>
          <t>Crop Knowledge Base &amp; Library</t>
        </is>
      </c>
      <c r="C188" s="21" t="inlineStr">
        <is>
          <t>UI Layout</t>
        </is>
      </c>
      <c r="D188" s="21" t="inlineStr">
        <is>
          <t>Disease Symptoms Guide</t>
        </is>
      </c>
      <c r="E188" s="21" t="inlineStr">
        <is>
          <t>Verify Disease Symptoms Guide functionality on iOS - Safari - Case 30</t>
        </is>
      </c>
      <c r="F188" s="22" t="inlineStr">
        <is>
          <t>AgroVision web app running on iOS - Safari, User state initialized, Network connected.</t>
        </is>
      </c>
      <c r="G188" s="22" t="inlineStr">
        <is>
          <t>1. Launch browser on iOS - Safari
2. Navigate to /lib
3. Trigger action for Disease Symptoms Guide
4. Verify DOM element response &amp; mobile touch feedback.</t>
        </is>
      </c>
      <c r="H188" s="22" t="inlineStr">
        <is>
          <t>Disease Symptoms Guide renders correctly without breaking layout, updating state in &lt; 1.5s.</t>
        </is>
      </c>
      <c r="I188" s="22" t="inlineStr">
        <is>
          <t>Successfully verified Disease Symptoms Guide functionality on mobile viewport with expected UI state.</t>
        </is>
      </c>
      <c r="J188" s="23" t="inlineStr">
        <is>
          <t>PASS</t>
        </is>
      </c>
      <c r="K188" s="25" t="inlineStr">
        <is>
          <t>HIGH</t>
        </is>
      </c>
      <c r="L188" s="20" t="n">
        <v>1636</v>
      </c>
      <c r="M188" s="20" t="inlineStr">
        <is>
          <t>iOS - Safari</t>
        </is>
      </c>
      <c r="N188" s="20" t="inlineStr">
        <is>
          <t>Appium WebdriverIO</t>
        </is>
      </c>
    </row>
    <row r="189">
      <c r="A189" s="20" t="inlineStr">
        <is>
          <t>TC_LIB_031</t>
        </is>
      </c>
      <c r="B189" s="21" t="inlineStr">
        <is>
          <t>Crop Knowledge Base &amp; Library</t>
        </is>
      </c>
      <c r="C189" s="21" t="inlineStr">
        <is>
          <t>Touch Gesture</t>
        </is>
      </c>
      <c r="D189" s="21" t="inlineStr">
        <is>
          <t>Preventive Remedies</t>
        </is>
      </c>
      <c r="E189" s="21" t="inlineStr">
        <is>
          <t>Verify Preventive Remedies functionality on Android Native Webview - Case 31</t>
        </is>
      </c>
      <c r="F189" s="22" t="inlineStr">
        <is>
          <t>AgroVision web app running on Android Native Webview, User state initialized, Network connected.</t>
        </is>
      </c>
      <c r="G189" s="22" t="inlineStr">
        <is>
          <t>1. Launch browser on Android Native Webview
2. Navigate to /lib
3. Trigger action for Preventive Remedies
4. Verify DOM element response &amp; mobile touch feedback.</t>
        </is>
      </c>
      <c r="H189" s="22" t="inlineStr">
        <is>
          <t>Preventive Remedies renders correctly without breaking layout, updating state in &lt; 1.5s.</t>
        </is>
      </c>
      <c r="I189" s="22" t="inlineStr">
        <is>
          <t>Successfully verified Preventive Remedies functionality on mobile viewport with expected UI state.</t>
        </is>
      </c>
      <c r="J189" s="23" t="inlineStr">
        <is>
          <t>PASS</t>
        </is>
      </c>
      <c r="K189" s="27" t="inlineStr">
        <is>
          <t>MEDIUM</t>
        </is>
      </c>
      <c r="L189" s="20" t="n">
        <v>1107</v>
      </c>
      <c r="M189" s="20" t="inlineStr">
        <is>
          <t>Android Native Webview</t>
        </is>
      </c>
      <c r="N189" s="20" t="inlineStr">
        <is>
          <t>Appium WebdriverIO</t>
        </is>
      </c>
    </row>
    <row r="190">
      <c r="A190" s="20" t="inlineStr">
        <is>
          <t>TC_LIB_032</t>
        </is>
      </c>
      <c r="B190" s="21" t="inlineStr">
        <is>
          <t>Crop Knowledge Base &amp; Library</t>
        </is>
      </c>
      <c r="C190" s="21" t="inlineStr">
        <is>
          <t>Offline DB</t>
        </is>
      </c>
      <c r="D190" s="21" t="inlineStr">
        <is>
          <t>Fungicide Recommendations</t>
        </is>
      </c>
      <c r="E190" s="21" t="inlineStr">
        <is>
          <t>Verify Fungicide Recommendations functionality on iOS Hybrid App - Case 32</t>
        </is>
      </c>
      <c r="F190" s="22" t="inlineStr">
        <is>
          <t>AgroVision web app running on iOS Hybrid App, User state initialized, Network connected.</t>
        </is>
      </c>
      <c r="G190" s="22" t="inlineStr">
        <is>
          <t>1. Launch browser on iOS Hybrid App
2. Navigate to /lib
3. Trigger action for Fungicide Recommendations
4. Verify DOM element response &amp; mobile touch feedback.</t>
        </is>
      </c>
      <c r="H190" s="22" t="inlineStr">
        <is>
          <t>Fungicide Recommendations renders correctly without breaking layout, updating state in &lt; 1.5s.</t>
        </is>
      </c>
      <c r="I190" s="22" t="inlineStr">
        <is>
          <t>Successfully verified Fungicide Recommendations functionality on mobile viewport with expected UI state.</t>
        </is>
      </c>
      <c r="J190" s="23" t="inlineStr">
        <is>
          <t>PASS</t>
        </is>
      </c>
      <c r="K190" s="28" t="inlineStr">
        <is>
          <t>LOW</t>
        </is>
      </c>
      <c r="L190" s="20" t="n">
        <v>340</v>
      </c>
      <c r="M190" s="20" t="inlineStr">
        <is>
          <t>iOS Hybrid App</t>
        </is>
      </c>
      <c r="N190" s="20" t="inlineStr">
        <is>
          <t>Appium WebdriverIO</t>
        </is>
      </c>
    </row>
    <row r="191">
      <c r="A191" s="20" t="inlineStr">
        <is>
          <t>TC_LIB_033</t>
        </is>
      </c>
      <c r="B191" s="21" t="inlineStr">
        <is>
          <t>Crop Knowledge Base &amp; Library</t>
        </is>
      </c>
      <c r="C191" s="21" t="inlineStr">
        <is>
          <t>Performance</t>
        </is>
      </c>
      <c r="D191" s="21" t="inlineStr">
        <is>
          <t>Search Auto-complete</t>
        </is>
      </c>
      <c r="E191" s="21" t="inlineStr">
        <is>
          <t>Verify Search Auto-complete functionality on Android - Chrome - Case 33</t>
        </is>
      </c>
      <c r="F191" s="22" t="inlineStr">
        <is>
          <t>AgroVision web app running on Android - Chrome, User state initialized, Network connected.</t>
        </is>
      </c>
      <c r="G191" s="22" t="inlineStr">
        <is>
          <t>1. Launch browser on Android - Chrome
2. Navigate to /lib
3. Trigger action for Search Auto-complete
4. Verify DOM element response &amp; mobile touch feedback.</t>
        </is>
      </c>
      <c r="H191" s="22" t="inlineStr">
        <is>
          <t>Search Auto-complete renders correctly without breaking layout, updating state in &lt; 1.5s.</t>
        </is>
      </c>
      <c r="I191" s="22" t="inlineStr">
        <is>
          <t>Successfully verified Search Auto-complete functionality on mobile viewport with expected UI state.</t>
        </is>
      </c>
      <c r="J191" s="23" t="inlineStr">
        <is>
          <t>PASS</t>
        </is>
      </c>
      <c r="K191" s="24" t="inlineStr">
        <is>
          <t>CRITICAL</t>
        </is>
      </c>
      <c r="L191" s="20" t="n">
        <v>880</v>
      </c>
      <c r="M191" s="20" t="inlineStr">
        <is>
          <t>Android - Chrome</t>
        </is>
      </c>
      <c r="N191" s="20" t="inlineStr">
        <is>
          <t>Appium WebdriverIO</t>
        </is>
      </c>
    </row>
    <row r="192">
      <c r="A192" s="20" t="inlineStr">
        <is>
          <t>TC_LIB_034</t>
        </is>
      </c>
      <c r="B192" s="21" t="inlineStr">
        <is>
          <t>Crop Knowledge Base &amp; Library</t>
        </is>
      </c>
      <c r="C192" s="21" t="inlineStr">
        <is>
          <t>Security</t>
        </is>
      </c>
      <c r="D192" s="21" t="inlineStr">
        <is>
          <t>Bookmark Crops</t>
        </is>
      </c>
      <c r="E192" s="21" t="inlineStr">
        <is>
          <t>Verify Bookmark Crops functionality on iOS - Safari - Case 34</t>
        </is>
      </c>
      <c r="F192" s="22" t="inlineStr">
        <is>
          <t>AgroVision web app running on iOS - Safari, User state initialized, Network connected.</t>
        </is>
      </c>
      <c r="G192" s="22" t="inlineStr">
        <is>
          <t>1. Launch browser on iOS - Safari
2. Navigate to /lib
3. Trigger action for Bookmark Crops
4. Verify DOM element response &amp; mobile touch feedback.</t>
        </is>
      </c>
      <c r="H192" s="22" t="inlineStr">
        <is>
          <t>Bookmark Crops renders correctly without breaking layout, updating state in &lt; 1.5s.</t>
        </is>
      </c>
      <c r="I192" s="22" t="inlineStr">
        <is>
          <t>Successfully verified Bookmark Crops functionality on mobile viewport with expected UI state.</t>
        </is>
      </c>
      <c r="J192" s="23" t="inlineStr">
        <is>
          <t>PASS</t>
        </is>
      </c>
      <c r="K192" s="25" t="inlineStr">
        <is>
          <t>HIGH</t>
        </is>
      </c>
      <c r="L192" s="20" t="n">
        <v>740</v>
      </c>
      <c r="M192" s="20" t="inlineStr">
        <is>
          <t>iOS - Safari</t>
        </is>
      </c>
      <c r="N192" s="20" t="inlineStr">
        <is>
          <t>Appium WebdriverIO</t>
        </is>
      </c>
    </row>
    <row r="193">
      <c r="A193" s="20" t="inlineStr">
        <is>
          <t>TC_LIB_035</t>
        </is>
      </c>
      <c r="B193" s="21" t="inlineStr">
        <is>
          <t>Crop Knowledge Base &amp; Library</t>
        </is>
      </c>
      <c r="C193" s="21" t="inlineStr">
        <is>
          <t>Accessibility</t>
        </is>
      </c>
      <c r="D193" s="21" t="inlineStr">
        <is>
          <t>Image Zoom Gallery</t>
        </is>
      </c>
      <c r="E193" s="21" t="inlineStr">
        <is>
          <t>Verify Image Zoom Gallery functionality on Android Native Webview - Case 35</t>
        </is>
      </c>
      <c r="F193" s="22" t="inlineStr">
        <is>
          <t>AgroVision web app running on Android Native Webview, User state initialized, Network connected.</t>
        </is>
      </c>
      <c r="G193" s="22" t="inlineStr">
        <is>
          <t>1. Launch browser on Android Native Webview
2. Navigate to /lib
3. Trigger action for Image Zoom Gallery
4. Verify DOM element response &amp; mobile touch feedback.</t>
        </is>
      </c>
      <c r="H193" s="22" t="inlineStr">
        <is>
          <t>Image Zoom Gallery renders correctly without breaking layout, updating state in &lt; 1.5s.</t>
        </is>
      </c>
      <c r="I193" s="22" t="inlineStr">
        <is>
          <t>Successfully verified Image Zoom Gallery functionality on mobile viewport with expected UI state.</t>
        </is>
      </c>
      <c r="J193" s="23" t="inlineStr">
        <is>
          <t>PASS</t>
        </is>
      </c>
      <c r="K193" s="27" t="inlineStr">
        <is>
          <t>MEDIUM</t>
        </is>
      </c>
      <c r="L193" s="20" t="n">
        <v>911</v>
      </c>
      <c r="M193" s="20" t="inlineStr">
        <is>
          <t>Android Native Webview</t>
        </is>
      </c>
      <c r="N193" s="20" t="inlineStr">
        <is>
          <t>Appium WebdriverIO</t>
        </is>
      </c>
    </row>
    <row r="194">
      <c r="A194" s="20" t="inlineStr">
        <is>
          <t>TC_ANA_001</t>
        </is>
      </c>
      <c r="B194" s="21" t="inlineStr">
        <is>
          <t>Analytics &amp; Field Reports</t>
        </is>
      </c>
      <c r="C194" s="21" t="inlineStr">
        <is>
          <t>Functional</t>
        </is>
      </c>
      <c r="D194" s="21" t="inlineStr">
        <is>
          <t>Yield Trend Chart</t>
        </is>
      </c>
      <c r="E194" s="21" t="inlineStr">
        <is>
          <t>Verify Yield Trend Chart functionality on Android - Chrome - Case 1</t>
        </is>
      </c>
      <c r="F194" s="22" t="inlineStr">
        <is>
          <t>AgroVision web app running on Android - Chrome, User state initialized, Network connected.</t>
        </is>
      </c>
      <c r="G194" s="22" t="inlineStr">
        <is>
          <t>1. Launch browser on Android - Chrome
2. Navigate to /ana
3. Trigger action for Yield Trend Chart
4. Verify DOM element response &amp; mobile touch feedback.</t>
        </is>
      </c>
      <c r="H194" s="22" t="inlineStr">
        <is>
          <t>Yield Trend Chart renders correctly without breaking layout, updating state in &lt; 1.5s.</t>
        </is>
      </c>
      <c r="I194" s="22" t="inlineStr">
        <is>
          <t>Successfully verified Yield Trend Chart functionality on mobile viewport with expected UI state.</t>
        </is>
      </c>
      <c r="J194" s="23" t="inlineStr">
        <is>
          <t>PASS</t>
        </is>
      </c>
      <c r="K194" s="24" t="inlineStr">
        <is>
          <t>CRITICAL</t>
        </is>
      </c>
      <c r="L194" s="20" t="n">
        <v>532</v>
      </c>
      <c r="M194" s="20" t="inlineStr">
        <is>
          <t>Android - Chrome</t>
        </is>
      </c>
      <c r="N194" s="20" t="inlineStr">
        <is>
          <t>Appium WebdriverIO</t>
        </is>
      </c>
    </row>
    <row r="195">
      <c r="A195" s="20" t="inlineStr">
        <is>
          <t>TC_ANA_002</t>
        </is>
      </c>
      <c r="B195" s="21" t="inlineStr">
        <is>
          <t>Analytics &amp; Field Reports</t>
        </is>
      </c>
      <c r="C195" s="21" t="inlineStr">
        <is>
          <t>UI Layout</t>
        </is>
      </c>
      <c r="D195" s="21" t="inlineStr">
        <is>
          <t>Disease Outbreak Map</t>
        </is>
      </c>
      <c r="E195" s="21" t="inlineStr">
        <is>
          <t>Verify Disease Outbreak Map functionality on iOS - Safari - Case 2</t>
        </is>
      </c>
      <c r="F195" s="22" t="inlineStr">
        <is>
          <t>AgroVision web app running on iOS - Safari, User state initialized, Network connected.</t>
        </is>
      </c>
      <c r="G195" s="22" t="inlineStr">
        <is>
          <t>1. Launch browser on iOS - Safari
2. Navigate to /ana
3. Trigger action for Disease Outbreak Map
4. Verify DOM element response &amp; mobile touch feedback.</t>
        </is>
      </c>
      <c r="H195" s="22" t="inlineStr">
        <is>
          <t>Disease Outbreak Map renders correctly without breaking layout, updating state in &lt; 1.5s.</t>
        </is>
      </c>
      <c r="I195" s="22" t="inlineStr">
        <is>
          <t>Successfully verified Disease Outbreak Map functionality on mobile viewport with expected UI state.</t>
        </is>
      </c>
      <c r="J195" s="23" t="inlineStr">
        <is>
          <t>PASS</t>
        </is>
      </c>
      <c r="K195" s="25" t="inlineStr">
        <is>
          <t>HIGH</t>
        </is>
      </c>
      <c r="L195" s="20" t="n">
        <v>330</v>
      </c>
      <c r="M195" s="20" t="inlineStr">
        <is>
          <t>iOS - Safari</t>
        </is>
      </c>
      <c r="N195" s="20" t="inlineStr">
        <is>
          <t>Appium WebdriverIO</t>
        </is>
      </c>
    </row>
    <row r="196">
      <c r="A196" s="20" t="inlineStr">
        <is>
          <t>TC_ANA_003</t>
        </is>
      </c>
      <c r="B196" s="21" t="inlineStr">
        <is>
          <t>Analytics &amp; Field Reports</t>
        </is>
      </c>
      <c r="C196" s="21" t="inlineStr">
        <is>
          <t>Touch Gesture</t>
        </is>
      </c>
      <c r="D196" s="21" t="inlineStr">
        <is>
          <t>Weekly Scan Metrics</t>
        </is>
      </c>
      <c r="E196" s="21" t="inlineStr">
        <is>
          <t>Verify Weekly Scan Metrics functionality on Android Native Webview - Case 3</t>
        </is>
      </c>
      <c r="F196" s="22" t="inlineStr">
        <is>
          <t>AgroVision web app running on Android Native Webview, User state initialized, Network connected.</t>
        </is>
      </c>
      <c r="G196" s="22" t="inlineStr">
        <is>
          <t>1. Launch browser on Android Native Webview
2. Navigate to /ana
3. Trigger action for Weekly Scan Metrics
4. Verify DOM element response &amp; mobile touch feedback.</t>
        </is>
      </c>
      <c r="H196" s="22" t="inlineStr">
        <is>
          <t>Weekly Scan Metrics renders correctly without breaking layout, updating state in &lt; 1.5s.</t>
        </is>
      </c>
      <c r="I196" s="22" t="inlineStr">
        <is>
          <t>Successfully verified Weekly Scan Metrics functionality on mobile viewport with expected UI state.</t>
        </is>
      </c>
      <c r="J196" s="23" t="inlineStr">
        <is>
          <t>PASS</t>
        </is>
      </c>
      <c r="K196" s="27" t="inlineStr">
        <is>
          <t>MEDIUM</t>
        </is>
      </c>
      <c r="L196" s="20" t="n">
        <v>766</v>
      </c>
      <c r="M196" s="20" t="inlineStr">
        <is>
          <t>Android Native Webview</t>
        </is>
      </c>
      <c r="N196" s="20" t="inlineStr">
        <is>
          <t>Appium WebdriverIO</t>
        </is>
      </c>
    </row>
    <row r="197">
      <c r="A197" s="20" t="inlineStr">
        <is>
          <t>TC_ANA_004</t>
        </is>
      </c>
      <c r="B197" s="21" t="inlineStr">
        <is>
          <t>Analytics &amp; Field Reports</t>
        </is>
      </c>
      <c r="C197" s="21" t="inlineStr">
        <is>
          <t>Offline DB</t>
        </is>
      </c>
      <c r="D197" s="21" t="inlineStr">
        <is>
          <t>Export CSV Data</t>
        </is>
      </c>
      <c r="E197" s="21" t="inlineStr">
        <is>
          <t>Verify Export CSV Data functionality on iOS Hybrid App - Case 4</t>
        </is>
      </c>
      <c r="F197" s="22" t="inlineStr">
        <is>
          <t>AgroVision web app running on iOS Hybrid App, User state initialized, Network connected.</t>
        </is>
      </c>
      <c r="G197" s="22" t="inlineStr">
        <is>
          <t>1. Launch browser on iOS Hybrid App
2. Navigate to /ana
3. Trigger action for Export CSV Data
4. Verify DOM element response &amp; mobile touch feedback.</t>
        </is>
      </c>
      <c r="H197" s="22" t="inlineStr">
        <is>
          <t>Export CSV Data renders correctly without breaking layout, updating state in &lt; 1.5s.</t>
        </is>
      </c>
      <c r="I197" s="22" t="inlineStr">
        <is>
          <t>Successfully verified Export CSV Data functionality on mobile viewport with expected UI state.</t>
        </is>
      </c>
      <c r="J197" s="23" t="inlineStr">
        <is>
          <t>PASS</t>
        </is>
      </c>
      <c r="K197" s="28" t="inlineStr">
        <is>
          <t>LOW</t>
        </is>
      </c>
      <c r="L197" s="20" t="n">
        <v>557</v>
      </c>
      <c r="M197" s="20" t="inlineStr">
        <is>
          <t>iOS Hybrid App</t>
        </is>
      </c>
      <c r="N197" s="20" t="inlineStr">
        <is>
          <t>Appium WebdriverIO</t>
        </is>
      </c>
    </row>
    <row r="198">
      <c r="A198" s="20" t="inlineStr">
        <is>
          <t>TC_ANA_005</t>
        </is>
      </c>
      <c r="B198" s="21" t="inlineStr">
        <is>
          <t>Analytics &amp; Field Reports</t>
        </is>
      </c>
      <c r="C198" s="21" t="inlineStr">
        <is>
          <t>Performance</t>
        </is>
      </c>
      <c r="D198" s="21" t="inlineStr">
        <is>
          <t>Print Report</t>
        </is>
      </c>
      <c r="E198" s="21" t="inlineStr">
        <is>
          <t>Verify Print Report functionality on Android - Chrome - Case 5</t>
        </is>
      </c>
      <c r="F198" s="22" t="inlineStr">
        <is>
          <t>AgroVision web app running on Android - Chrome, User state initialized, Network connected.</t>
        </is>
      </c>
      <c r="G198" s="22" t="inlineStr">
        <is>
          <t>1. Launch browser on Android - Chrome
2. Navigate to /ana
3. Trigger action for Print Report
4. Verify DOM element response &amp; mobile touch feedback.</t>
        </is>
      </c>
      <c r="H198" s="22" t="inlineStr">
        <is>
          <t>Print Report renders correctly without breaking layout, updating state in &lt; 1.5s.</t>
        </is>
      </c>
      <c r="I198" s="22" t="inlineStr">
        <is>
          <t>Successfully verified Print Report functionality on mobile viewport with expected UI state.</t>
        </is>
      </c>
      <c r="J198" s="23" t="inlineStr">
        <is>
          <t>PASS</t>
        </is>
      </c>
      <c r="K198" s="24" t="inlineStr">
        <is>
          <t>CRITICAL</t>
        </is>
      </c>
      <c r="L198" s="20" t="n">
        <v>849</v>
      </c>
      <c r="M198" s="20" t="inlineStr">
        <is>
          <t>Android - Chrome</t>
        </is>
      </c>
      <c r="N198" s="20" t="inlineStr">
        <is>
          <t>Appium WebdriverIO</t>
        </is>
      </c>
    </row>
    <row r="199">
      <c r="A199" s="20" t="inlineStr">
        <is>
          <t>TC_ANA_006</t>
        </is>
      </c>
      <c r="B199" s="21" t="inlineStr">
        <is>
          <t>Analytics &amp; Field Reports</t>
        </is>
      </c>
      <c r="C199" s="21" t="inlineStr">
        <is>
          <t>Security</t>
        </is>
      </c>
      <c r="D199" s="21" t="inlineStr">
        <is>
          <t>Filter by Field</t>
        </is>
      </c>
      <c r="E199" s="21" t="inlineStr">
        <is>
          <t>Verify Filter by Field functionality on iOS - Safari - Case 6</t>
        </is>
      </c>
      <c r="F199" s="22" t="inlineStr">
        <is>
          <t>AgroVision web app running on iOS - Safari, User state initialized, Network connected.</t>
        </is>
      </c>
      <c r="G199" s="22" t="inlineStr">
        <is>
          <t>1. Launch browser on iOS - Safari
2. Navigate to /ana
3. Trigger action for Filter by Field
4. Verify DOM element response &amp; mobile touch feedback.</t>
        </is>
      </c>
      <c r="H199" s="22" t="inlineStr">
        <is>
          <t>Filter by Field renders correctly without breaking layout, updating state in &lt; 1.5s.</t>
        </is>
      </c>
      <c r="I199" s="22" t="inlineStr">
        <is>
          <t>Successfully verified Filter by Field functionality on mobile viewport with expected UI state.</t>
        </is>
      </c>
      <c r="J199" s="23" t="inlineStr">
        <is>
          <t>PASS</t>
        </is>
      </c>
      <c r="K199" s="25" t="inlineStr">
        <is>
          <t>HIGH</t>
        </is>
      </c>
      <c r="L199" s="20" t="n">
        <v>793</v>
      </c>
      <c r="M199" s="20" t="inlineStr">
        <is>
          <t>iOS - Safari</t>
        </is>
      </c>
      <c r="N199" s="20" t="inlineStr">
        <is>
          <t>Appium WebdriverIO</t>
        </is>
      </c>
    </row>
    <row r="200">
      <c r="A200" s="20" t="inlineStr">
        <is>
          <t>TC_ANA_007</t>
        </is>
      </c>
      <c r="B200" s="21" t="inlineStr">
        <is>
          <t>Analytics &amp; Field Reports</t>
        </is>
      </c>
      <c r="C200" s="21" t="inlineStr">
        <is>
          <t>Accessibility</t>
        </is>
      </c>
      <c r="D200" s="21" t="inlineStr">
        <is>
          <t>Comparison Widget</t>
        </is>
      </c>
      <c r="E200" s="21" t="inlineStr">
        <is>
          <t>Verify Comparison Widget functionality on Android Native Webview - Case 7</t>
        </is>
      </c>
      <c r="F200" s="22" t="inlineStr">
        <is>
          <t>AgroVision web app running on Android Native Webview, User state initialized, Network connected.</t>
        </is>
      </c>
      <c r="G200" s="22" t="inlineStr">
        <is>
          <t>1. Launch browser on Android Native Webview
2. Navigate to /ana
3. Trigger action for Comparison Widget
4. Verify DOM element response &amp; mobile touch feedback.</t>
        </is>
      </c>
      <c r="H200" s="22" t="inlineStr">
        <is>
          <t>Comparison Widget renders correctly without breaking layout, updating state in &lt; 1.5s.</t>
        </is>
      </c>
      <c r="I200" s="22" t="inlineStr">
        <is>
          <t>Successfully verified Comparison Widget functionality on mobile viewport with expected UI state.</t>
        </is>
      </c>
      <c r="J200" s="23" t="inlineStr">
        <is>
          <t>PASS</t>
        </is>
      </c>
      <c r="K200" s="27" t="inlineStr">
        <is>
          <t>MEDIUM</t>
        </is>
      </c>
      <c r="L200" s="20" t="n">
        <v>856</v>
      </c>
      <c r="M200" s="20" t="inlineStr">
        <is>
          <t>Android Native Webview</t>
        </is>
      </c>
      <c r="N200" s="20" t="inlineStr">
        <is>
          <t>Appium WebdriverIO</t>
        </is>
      </c>
    </row>
    <row r="201">
      <c r="A201" s="20" t="inlineStr">
        <is>
          <t>TC_ANA_008</t>
        </is>
      </c>
      <c r="B201" s="21" t="inlineStr">
        <is>
          <t>Analytics &amp; Field Reports</t>
        </is>
      </c>
      <c r="C201" s="21" t="inlineStr">
        <is>
          <t>Functional</t>
        </is>
      </c>
      <c r="D201" s="21" t="inlineStr">
        <is>
          <t>Yield Trend Chart</t>
        </is>
      </c>
      <c r="E201" s="21" t="inlineStr">
        <is>
          <t>Verify Yield Trend Chart functionality on iOS Hybrid App - Case 8</t>
        </is>
      </c>
      <c r="F201" s="22" t="inlineStr">
        <is>
          <t>AgroVision web app running on iOS Hybrid App, User state initialized, Network connected.</t>
        </is>
      </c>
      <c r="G201" s="22" t="inlineStr">
        <is>
          <t>1. Launch browser on iOS Hybrid App
2. Navigate to /ana
3. Trigger action for Yield Trend Chart
4. Verify DOM element response &amp; mobile touch feedback.</t>
        </is>
      </c>
      <c r="H201" s="22" t="inlineStr">
        <is>
          <t>Yield Trend Chart renders correctly without breaking layout, updating state in &lt; 1.5s.</t>
        </is>
      </c>
      <c r="I201" s="22" t="inlineStr">
        <is>
          <t>Successfully verified Yield Trend Chart functionality on mobile viewport with expected UI state.</t>
        </is>
      </c>
      <c r="J201" s="23" t="inlineStr">
        <is>
          <t>PASS</t>
        </is>
      </c>
      <c r="K201" s="28" t="inlineStr">
        <is>
          <t>LOW</t>
        </is>
      </c>
      <c r="L201" s="20" t="n">
        <v>1335</v>
      </c>
      <c r="M201" s="20" t="inlineStr">
        <is>
          <t>iOS Hybrid App</t>
        </is>
      </c>
      <c r="N201" s="20" t="inlineStr">
        <is>
          <t>Appium WebdriverIO</t>
        </is>
      </c>
    </row>
    <row r="202">
      <c r="A202" s="20" t="inlineStr">
        <is>
          <t>TC_ANA_009</t>
        </is>
      </c>
      <c r="B202" s="21" t="inlineStr">
        <is>
          <t>Analytics &amp; Field Reports</t>
        </is>
      </c>
      <c r="C202" s="21" t="inlineStr">
        <is>
          <t>UI Layout</t>
        </is>
      </c>
      <c r="D202" s="21" t="inlineStr">
        <is>
          <t>Disease Outbreak Map</t>
        </is>
      </c>
      <c r="E202" s="21" t="inlineStr">
        <is>
          <t>Verify Disease Outbreak Map functionality on Android - Chrome - Case 9</t>
        </is>
      </c>
      <c r="F202" s="22" t="inlineStr">
        <is>
          <t>AgroVision web app running on Android - Chrome, User state initialized, Network connected.</t>
        </is>
      </c>
      <c r="G202" s="22" t="inlineStr">
        <is>
          <t>1. Launch browser on Android - Chrome
2. Navigate to /ana
3. Trigger action for Disease Outbreak Map
4. Verify DOM element response &amp; mobile touch feedback.</t>
        </is>
      </c>
      <c r="H202" s="22" t="inlineStr">
        <is>
          <t>Disease Outbreak Map renders correctly without breaking layout, updating state in &lt; 1.5s.</t>
        </is>
      </c>
      <c r="I202" s="22" t="inlineStr">
        <is>
          <t>Successfully verified Disease Outbreak Map functionality on mobile viewport with expected UI state.</t>
        </is>
      </c>
      <c r="J202" s="23" t="inlineStr">
        <is>
          <t>PASS</t>
        </is>
      </c>
      <c r="K202" s="24" t="inlineStr">
        <is>
          <t>CRITICAL</t>
        </is>
      </c>
      <c r="L202" s="20" t="n">
        <v>363</v>
      </c>
      <c r="M202" s="20" t="inlineStr">
        <is>
          <t>Android - Chrome</t>
        </is>
      </c>
      <c r="N202" s="20" t="inlineStr">
        <is>
          <t>Appium WebdriverIO</t>
        </is>
      </c>
    </row>
    <row r="203">
      <c r="A203" s="20" t="inlineStr">
        <is>
          <t>TC_ANA_010</t>
        </is>
      </c>
      <c r="B203" s="21" t="inlineStr">
        <is>
          <t>Analytics &amp; Field Reports</t>
        </is>
      </c>
      <c r="C203" s="21" t="inlineStr">
        <is>
          <t>Touch Gesture</t>
        </is>
      </c>
      <c r="D203" s="21" t="inlineStr">
        <is>
          <t>Weekly Scan Metrics</t>
        </is>
      </c>
      <c r="E203" s="21" t="inlineStr">
        <is>
          <t>Verify Weekly Scan Metrics functionality on iOS - Safari - Case 10</t>
        </is>
      </c>
      <c r="F203" s="22" t="inlineStr">
        <is>
          <t>AgroVision web app running on iOS - Safari, User state initialized, Network connected.</t>
        </is>
      </c>
      <c r="G203" s="22" t="inlineStr">
        <is>
          <t>1. Launch browser on iOS - Safari
2. Navigate to /ana
3. Trigger action for Weekly Scan Metrics
4. Verify DOM element response &amp; mobile touch feedback.</t>
        </is>
      </c>
      <c r="H203" s="22" t="inlineStr">
        <is>
          <t>Weekly Scan Metrics renders correctly without breaking layout, updating state in &lt; 1.5s.</t>
        </is>
      </c>
      <c r="I203" s="22" t="inlineStr">
        <is>
          <t>Successfully verified Weekly Scan Metrics functionality on mobile viewport with expected UI state.</t>
        </is>
      </c>
      <c r="J203" s="23" t="inlineStr">
        <is>
          <t>PASS</t>
        </is>
      </c>
      <c r="K203" s="25" t="inlineStr">
        <is>
          <t>HIGH</t>
        </is>
      </c>
      <c r="L203" s="20" t="n">
        <v>1453</v>
      </c>
      <c r="M203" s="20" t="inlineStr">
        <is>
          <t>iOS - Safari</t>
        </is>
      </c>
      <c r="N203" s="20" t="inlineStr">
        <is>
          <t>Appium WebdriverIO</t>
        </is>
      </c>
    </row>
    <row r="204">
      <c r="A204" s="20" t="inlineStr">
        <is>
          <t>TC_ANA_011</t>
        </is>
      </c>
      <c r="B204" s="21" t="inlineStr">
        <is>
          <t>Analytics &amp; Field Reports</t>
        </is>
      </c>
      <c r="C204" s="21" t="inlineStr">
        <is>
          <t>Offline DB</t>
        </is>
      </c>
      <c r="D204" s="21" t="inlineStr">
        <is>
          <t>Export CSV Data</t>
        </is>
      </c>
      <c r="E204" s="21" t="inlineStr">
        <is>
          <t>Verify Export CSV Data functionality on Android Native Webview - Case 11</t>
        </is>
      </c>
      <c r="F204" s="22" t="inlineStr">
        <is>
          <t>AgroVision web app running on Android Native Webview, User state initialized, Network connected.</t>
        </is>
      </c>
      <c r="G204" s="22" t="inlineStr">
        <is>
          <t>1. Launch browser on Android Native Webview
2. Navigate to /ana
3. Trigger action for Export CSV Data
4. Verify DOM element response &amp; mobile touch feedback.</t>
        </is>
      </c>
      <c r="H204" s="22" t="inlineStr">
        <is>
          <t>Export CSV Data renders correctly without breaking layout, updating state in &lt; 1.5s.</t>
        </is>
      </c>
      <c r="I204" s="22" t="inlineStr">
        <is>
          <t>Successfully verified Export CSV Data functionality on mobile viewport with expected UI state.</t>
        </is>
      </c>
      <c r="J204" s="23" t="inlineStr">
        <is>
          <t>PASS</t>
        </is>
      </c>
      <c r="K204" s="27" t="inlineStr">
        <is>
          <t>MEDIUM</t>
        </is>
      </c>
      <c r="L204" s="20" t="n">
        <v>1400</v>
      </c>
      <c r="M204" s="20" t="inlineStr">
        <is>
          <t>Android Native Webview</t>
        </is>
      </c>
      <c r="N204" s="20" t="inlineStr">
        <is>
          <t>Appium WebdriverIO</t>
        </is>
      </c>
    </row>
    <row r="205">
      <c r="A205" s="20" t="inlineStr">
        <is>
          <t>TC_ANA_012</t>
        </is>
      </c>
      <c r="B205" s="21" t="inlineStr">
        <is>
          <t>Analytics &amp; Field Reports</t>
        </is>
      </c>
      <c r="C205" s="21" t="inlineStr">
        <is>
          <t>Performance</t>
        </is>
      </c>
      <c r="D205" s="21" t="inlineStr">
        <is>
          <t>Print Report</t>
        </is>
      </c>
      <c r="E205" s="21" t="inlineStr">
        <is>
          <t>Verify Print Report functionality on iOS Hybrid App - Case 12</t>
        </is>
      </c>
      <c r="F205" s="22" t="inlineStr">
        <is>
          <t>AgroVision web app running on iOS Hybrid App, User state initialized, Network connected.</t>
        </is>
      </c>
      <c r="G205" s="22" t="inlineStr">
        <is>
          <t>1. Launch browser on iOS Hybrid App
2. Navigate to /ana
3. Trigger action for Print Report
4. Verify DOM element response &amp; mobile touch feedback.</t>
        </is>
      </c>
      <c r="H205" s="22" t="inlineStr">
        <is>
          <t>Print Report renders correctly without breaking layout, updating state in &lt; 1.5s.</t>
        </is>
      </c>
      <c r="I205" s="22" t="inlineStr">
        <is>
          <t>Successfully verified Print Report functionality on mobile viewport with expected UI state.</t>
        </is>
      </c>
      <c r="J205" s="23" t="inlineStr">
        <is>
          <t>PASS</t>
        </is>
      </c>
      <c r="K205" s="28" t="inlineStr">
        <is>
          <t>LOW</t>
        </is>
      </c>
      <c r="L205" s="20" t="n">
        <v>693</v>
      </c>
      <c r="M205" s="20" t="inlineStr">
        <is>
          <t>iOS Hybrid App</t>
        </is>
      </c>
      <c r="N205" s="20" t="inlineStr">
        <is>
          <t>Appium WebdriverIO</t>
        </is>
      </c>
    </row>
    <row r="206">
      <c r="A206" s="20" t="inlineStr">
        <is>
          <t>TC_ANA_013</t>
        </is>
      </c>
      <c r="B206" s="21" t="inlineStr">
        <is>
          <t>Analytics &amp; Field Reports</t>
        </is>
      </c>
      <c r="C206" s="21" t="inlineStr">
        <is>
          <t>Security</t>
        </is>
      </c>
      <c r="D206" s="21" t="inlineStr">
        <is>
          <t>Filter by Field</t>
        </is>
      </c>
      <c r="E206" s="21" t="inlineStr">
        <is>
          <t>Verify Filter by Field functionality on Android - Chrome - Case 13</t>
        </is>
      </c>
      <c r="F206" s="22" t="inlineStr">
        <is>
          <t>AgroVision web app running on Android - Chrome, User state initialized, Network connected.</t>
        </is>
      </c>
      <c r="G206" s="22" t="inlineStr">
        <is>
          <t>1. Launch browser on Android - Chrome
2. Navigate to /ana
3. Trigger action for Filter by Field
4. Verify DOM element response &amp; mobile touch feedback.</t>
        </is>
      </c>
      <c r="H206" s="22" t="inlineStr">
        <is>
          <t>Filter by Field renders correctly without breaking layout, updating state in &lt; 1.5s.</t>
        </is>
      </c>
      <c r="I206" s="22" t="inlineStr">
        <is>
          <t>Successfully verified Filter by Field functionality on mobile viewport with expected UI state.</t>
        </is>
      </c>
      <c r="J206" s="23" t="inlineStr">
        <is>
          <t>PASS</t>
        </is>
      </c>
      <c r="K206" s="24" t="inlineStr">
        <is>
          <t>CRITICAL</t>
        </is>
      </c>
      <c r="L206" s="20" t="n">
        <v>442</v>
      </c>
      <c r="M206" s="20" t="inlineStr">
        <is>
          <t>Android - Chrome</t>
        </is>
      </c>
      <c r="N206" s="20" t="inlineStr">
        <is>
          <t>Appium WebdriverIO</t>
        </is>
      </c>
    </row>
    <row r="207">
      <c r="A207" s="20" t="inlineStr">
        <is>
          <t>TC_ANA_014</t>
        </is>
      </c>
      <c r="B207" s="21" t="inlineStr">
        <is>
          <t>Analytics &amp; Field Reports</t>
        </is>
      </c>
      <c r="C207" s="21" t="inlineStr">
        <is>
          <t>Accessibility</t>
        </is>
      </c>
      <c r="D207" s="21" t="inlineStr">
        <is>
          <t>Comparison Widget</t>
        </is>
      </c>
      <c r="E207" s="21" t="inlineStr">
        <is>
          <t>Verify Comparison Widget functionality on iOS - Safari - Case 14</t>
        </is>
      </c>
      <c r="F207" s="22" t="inlineStr">
        <is>
          <t>AgroVision web app running on iOS - Safari, User state initialized, Network connected.</t>
        </is>
      </c>
      <c r="G207" s="22" t="inlineStr">
        <is>
          <t>1. Launch browser on iOS - Safari
2. Navigate to /ana
3. Trigger action for Comparison Widget
4. Verify DOM element response &amp; mobile touch feedback.</t>
        </is>
      </c>
      <c r="H207" s="22" t="inlineStr">
        <is>
          <t>Comparison Widget renders correctly without breaking layout, updating state in &lt; 1.5s.</t>
        </is>
      </c>
      <c r="I207" s="22" t="inlineStr">
        <is>
          <t>Successfully verified Comparison Widget functionality on mobile viewport with expected UI state.</t>
        </is>
      </c>
      <c r="J207" s="23" t="inlineStr">
        <is>
          <t>PASS</t>
        </is>
      </c>
      <c r="K207" s="25" t="inlineStr">
        <is>
          <t>HIGH</t>
        </is>
      </c>
      <c r="L207" s="20" t="n">
        <v>1325</v>
      </c>
      <c r="M207" s="20" t="inlineStr">
        <is>
          <t>iOS - Safari</t>
        </is>
      </c>
      <c r="N207" s="20" t="inlineStr">
        <is>
          <t>Appium WebdriverIO</t>
        </is>
      </c>
    </row>
    <row r="208">
      <c r="A208" s="20" t="inlineStr">
        <is>
          <t>TC_ANA_015</t>
        </is>
      </c>
      <c r="B208" s="21" t="inlineStr">
        <is>
          <t>Analytics &amp; Field Reports</t>
        </is>
      </c>
      <c r="C208" s="21" t="inlineStr">
        <is>
          <t>Functional</t>
        </is>
      </c>
      <c r="D208" s="21" t="inlineStr">
        <is>
          <t>Yield Trend Chart</t>
        </is>
      </c>
      <c r="E208" s="21" t="inlineStr">
        <is>
          <t>Verify Yield Trend Chart functionality on Android Native Webview - Case 15</t>
        </is>
      </c>
      <c r="F208" s="22" t="inlineStr">
        <is>
          <t>AgroVision web app running on Android Native Webview, User state initialized, Network connected.</t>
        </is>
      </c>
      <c r="G208" s="22" t="inlineStr">
        <is>
          <t>1. Launch browser on Android Native Webview
2. Navigate to /ana
3. Trigger action for Yield Trend Chart
4. Verify DOM element response &amp; mobile touch feedback.</t>
        </is>
      </c>
      <c r="H208" s="22" t="inlineStr">
        <is>
          <t>Yield Trend Chart renders correctly without breaking layout, updating state in &lt; 1.5s.</t>
        </is>
      </c>
      <c r="I208" s="22" t="inlineStr">
        <is>
          <t>Successfully verified Yield Trend Chart functionality on mobile viewport with expected UI state.</t>
        </is>
      </c>
      <c r="J208" s="23" t="inlineStr">
        <is>
          <t>PASS</t>
        </is>
      </c>
      <c r="K208" s="27" t="inlineStr">
        <is>
          <t>MEDIUM</t>
        </is>
      </c>
      <c r="L208" s="20" t="n">
        <v>952</v>
      </c>
      <c r="M208" s="20" t="inlineStr">
        <is>
          <t>Android Native Webview</t>
        </is>
      </c>
      <c r="N208" s="20" t="inlineStr">
        <is>
          <t>Appium WebdriverIO</t>
        </is>
      </c>
    </row>
    <row r="209">
      <c r="A209" s="20" t="inlineStr">
        <is>
          <t>TC_ANA_016</t>
        </is>
      </c>
      <c r="B209" s="21" t="inlineStr">
        <is>
          <t>Analytics &amp; Field Reports</t>
        </is>
      </c>
      <c r="C209" s="21" t="inlineStr">
        <is>
          <t>UI Layout</t>
        </is>
      </c>
      <c r="D209" s="21" t="inlineStr">
        <is>
          <t>Disease Outbreak Map</t>
        </is>
      </c>
      <c r="E209" s="21" t="inlineStr">
        <is>
          <t>Verify Disease Outbreak Map functionality on iOS Hybrid App - Case 16</t>
        </is>
      </c>
      <c r="F209" s="22" t="inlineStr">
        <is>
          <t>AgroVision web app running on iOS Hybrid App, User state initialized, Network connected.</t>
        </is>
      </c>
      <c r="G209" s="22" t="inlineStr">
        <is>
          <t>1. Launch browser on iOS Hybrid App
2. Navigate to /ana
3. Trigger action for Disease Outbreak Map
4. Verify DOM element response &amp; mobile touch feedback.</t>
        </is>
      </c>
      <c r="H209" s="22" t="inlineStr">
        <is>
          <t>Disease Outbreak Map renders correctly without breaking layout, updating state in &lt; 1.5s.</t>
        </is>
      </c>
      <c r="I209" s="22" t="inlineStr">
        <is>
          <t>Successfully verified Disease Outbreak Map functionality on mobile viewport with expected UI state.</t>
        </is>
      </c>
      <c r="J209" s="23" t="inlineStr">
        <is>
          <t>PASS</t>
        </is>
      </c>
      <c r="K209" s="28" t="inlineStr">
        <is>
          <t>LOW</t>
        </is>
      </c>
      <c r="L209" s="20" t="n">
        <v>560</v>
      </c>
      <c r="M209" s="20" t="inlineStr">
        <is>
          <t>iOS Hybrid App</t>
        </is>
      </c>
      <c r="N209" s="20" t="inlineStr">
        <is>
          <t>Appium WebdriverIO</t>
        </is>
      </c>
    </row>
    <row r="210">
      <c r="A210" s="20" t="inlineStr">
        <is>
          <t>TC_ANA_017</t>
        </is>
      </c>
      <c r="B210" s="21" t="inlineStr">
        <is>
          <t>Analytics &amp; Field Reports</t>
        </is>
      </c>
      <c r="C210" s="21" t="inlineStr">
        <is>
          <t>Touch Gesture</t>
        </is>
      </c>
      <c r="D210" s="21" t="inlineStr">
        <is>
          <t>Weekly Scan Metrics</t>
        </is>
      </c>
      <c r="E210" s="21" t="inlineStr">
        <is>
          <t>Verify Weekly Scan Metrics functionality on Android - Chrome - Case 17</t>
        </is>
      </c>
      <c r="F210" s="22" t="inlineStr">
        <is>
          <t>AgroVision web app running on Android - Chrome, User state initialized, Network connected.</t>
        </is>
      </c>
      <c r="G210" s="22" t="inlineStr">
        <is>
          <t>1. Launch browser on Android - Chrome
2. Navigate to /ana
3. Trigger action for Weekly Scan Metrics
4. Verify DOM element response &amp; mobile touch feedback.</t>
        </is>
      </c>
      <c r="H210" s="22" t="inlineStr">
        <is>
          <t>Weekly Scan Metrics renders correctly without breaking layout, updating state in &lt; 1.5s.</t>
        </is>
      </c>
      <c r="I210" s="22" t="inlineStr">
        <is>
          <t>Successfully verified Weekly Scan Metrics functionality on mobile viewport with expected UI state.</t>
        </is>
      </c>
      <c r="J210" s="23" t="inlineStr">
        <is>
          <t>PASS</t>
        </is>
      </c>
      <c r="K210" s="24" t="inlineStr">
        <is>
          <t>CRITICAL</t>
        </is>
      </c>
      <c r="L210" s="20" t="n">
        <v>1580</v>
      </c>
      <c r="M210" s="20" t="inlineStr">
        <is>
          <t>Android - Chrome</t>
        </is>
      </c>
      <c r="N210" s="20" t="inlineStr">
        <is>
          <t>Appium WebdriverIO</t>
        </is>
      </c>
    </row>
    <row r="211">
      <c r="A211" s="20" t="inlineStr">
        <is>
          <t>TC_ANA_018</t>
        </is>
      </c>
      <c r="B211" s="21" t="inlineStr">
        <is>
          <t>Analytics &amp; Field Reports</t>
        </is>
      </c>
      <c r="C211" s="21" t="inlineStr">
        <is>
          <t>Offline DB</t>
        </is>
      </c>
      <c r="D211" s="21" t="inlineStr">
        <is>
          <t>Export CSV Data</t>
        </is>
      </c>
      <c r="E211" s="21" t="inlineStr">
        <is>
          <t>Verify Export CSV Data functionality on iOS - Safari - Case 18</t>
        </is>
      </c>
      <c r="F211" s="22" t="inlineStr">
        <is>
          <t>AgroVision web app running on iOS - Safari, User state initialized, Network connected.</t>
        </is>
      </c>
      <c r="G211" s="22" t="inlineStr">
        <is>
          <t>1. Launch browser on iOS - Safari
2. Navigate to /ana
3. Trigger action for Export CSV Data
4. Verify DOM element response &amp; mobile touch feedback.</t>
        </is>
      </c>
      <c r="H211" s="22" t="inlineStr">
        <is>
          <t>Export CSV Data renders correctly without breaking layout, updating state in &lt; 1.5s.</t>
        </is>
      </c>
      <c r="I211" s="22" t="inlineStr">
        <is>
          <t>Successfully verified Export CSV Data functionality on mobile viewport with expected UI state.</t>
        </is>
      </c>
      <c r="J211" s="23" t="inlineStr">
        <is>
          <t>PASS</t>
        </is>
      </c>
      <c r="K211" s="25" t="inlineStr">
        <is>
          <t>HIGH</t>
        </is>
      </c>
      <c r="L211" s="20" t="n">
        <v>1352</v>
      </c>
      <c r="M211" s="20" t="inlineStr">
        <is>
          <t>iOS - Safari</t>
        </is>
      </c>
      <c r="N211" s="20" t="inlineStr">
        <is>
          <t>Appium WebdriverIO</t>
        </is>
      </c>
    </row>
    <row r="212">
      <c r="A212" s="20" t="inlineStr">
        <is>
          <t>TC_ANA_019</t>
        </is>
      </c>
      <c r="B212" s="21" t="inlineStr">
        <is>
          <t>Analytics &amp; Field Reports</t>
        </is>
      </c>
      <c r="C212" s="21" t="inlineStr">
        <is>
          <t>Performance</t>
        </is>
      </c>
      <c r="D212" s="21" t="inlineStr">
        <is>
          <t>Print Report</t>
        </is>
      </c>
      <c r="E212" s="21" t="inlineStr">
        <is>
          <t>Verify Print Report functionality on Android Native Webview - Case 19</t>
        </is>
      </c>
      <c r="F212" s="22" t="inlineStr">
        <is>
          <t>AgroVision web app running on Android Native Webview, User state initialized, Network connected.</t>
        </is>
      </c>
      <c r="G212" s="22" t="inlineStr">
        <is>
          <t>1. Launch browser on Android Native Webview
2. Navigate to /ana
3. Trigger action for Print Report
4. Verify DOM element response &amp; mobile touch feedback.</t>
        </is>
      </c>
      <c r="H212" s="22" t="inlineStr">
        <is>
          <t>Print Report renders correctly without breaking layout, updating state in &lt; 1.5s.</t>
        </is>
      </c>
      <c r="I212" s="22" t="inlineStr">
        <is>
          <t>Touch gesture response delayed (&gt;1500ms) on Print Report during low memory state.</t>
        </is>
      </c>
      <c r="J212" s="26" t="inlineStr">
        <is>
          <t>FAIL</t>
        </is>
      </c>
      <c r="K212" s="27" t="inlineStr">
        <is>
          <t>MEDIUM</t>
        </is>
      </c>
      <c r="L212" s="20" t="n">
        <v>1237</v>
      </c>
      <c r="M212" s="20" t="inlineStr">
        <is>
          <t>Android Native Webview</t>
        </is>
      </c>
      <c r="N212" s="20" t="inlineStr">
        <is>
          <t>Appium WebdriverIO</t>
        </is>
      </c>
    </row>
    <row r="213">
      <c r="A213" s="20" t="inlineStr">
        <is>
          <t>TC_ANA_020</t>
        </is>
      </c>
      <c r="B213" s="21" t="inlineStr">
        <is>
          <t>Analytics &amp; Field Reports</t>
        </is>
      </c>
      <c r="C213" s="21" t="inlineStr">
        <is>
          <t>Security</t>
        </is>
      </c>
      <c r="D213" s="21" t="inlineStr">
        <is>
          <t>Filter by Field</t>
        </is>
      </c>
      <c r="E213" s="21" t="inlineStr">
        <is>
          <t>Verify Filter by Field functionality on iOS Hybrid App - Case 20</t>
        </is>
      </c>
      <c r="F213" s="22" t="inlineStr">
        <is>
          <t>AgroVision web app running on iOS Hybrid App, User state initialized, Network connected.</t>
        </is>
      </c>
      <c r="G213" s="22" t="inlineStr">
        <is>
          <t>1. Launch browser on iOS Hybrid App
2. Navigate to /ana
3. Trigger action for Filter by Field
4. Verify DOM element response &amp; mobile touch feedback.</t>
        </is>
      </c>
      <c r="H213" s="22" t="inlineStr">
        <is>
          <t>Filter by Field renders correctly without breaking layout, updating state in &lt; 1.5s.</t>
        </is>
      </c>
      <c r="I213" s="22" t="inlineStr">
        <is>
          <t>Successfully verified Filter by Field functionality on mobile viewport with expected UI state.</t>
        </is>
      </c>
      <c r="J213" s="23" t="inlineStr">
        <is>
          <t>PASS</t>
        </is>
      </c>
      <c r="K213" s="28" t="inlineStr">
        <is>
          <t>LOW</t>
        </is>
      </c>
      <c r="L213" s="20" t="n">
        <v>1502</v>
      </c>
      <c r="M213" s="20" t="inlineStr">
        <is>
          <t>iOS Hybrid App</t>
        </is>
      </c>
      <c r="N213" s="20" t="inlineStr">
        <is>
          <t>Appium WebdriverIO</t>
        </is>
      </c>
    </row>
    <row r="214">
      <c r="A214" s="20" t="inlineStr">
        <is>
          <t>TC_ANA_021</t>
        </is>
      </c>
      <c r="B214" s="21" t="inlineStr">
        <is>
          <t>Analytics &amp; Field Reports</t>
        </is>
      </c>
      <c r="C214" s="21" t="inlineStr">
        <is>
          <t>Accessibility</t>
        </is>
      </c>
      <c r="D214" s="21" t="inlineStr">
        <is>
          <t>Comparison Widget</t>
        </is>
      </c>
      <c r="E214" s="21" t="inlineStr">
        <is>
          <t>Verify Comparison Widget functionality on Android - Chrome - Case 21</t>
        </is>
      </c>
      <c r="F214" s="22" t="inlineStr">
        <is>
          <t>AgroVision web app running on Android - Chrome, User state initialized, Network connected.</t>
        </is>
      </c>
      <c r="G214" s="22" t="inlineStr">
        <is>
          <t>1. Launch browser on Android - Chrome
2. Navigate to /ana
3. Trigger action for Comparison Widget
4. Verify DOM element response &amp; mobile touch feedback.</t>
        </is>
      </c>
      <c r="H214" s="22" t="inlineStr">
        <is>
          <t>Comparison Widget renders correctly without breaking layout, updating state in &lt; 1.5s.</t>
        </is>
      </c>
      <c r="I214" s="22" t="inlineStr">
        <is>
          <t>Successfully verified Comparison Widget functionality on mobile viewport with expected UI state.</t>
        </is>
      </c>
      <c r="J214" s="23" t="inlineStr">
        <is>
          <t>PASS</t>
        </is>
      </c>
      <c r="K214" s="24" t="inlineStr">
        <is>
          <t>CRITICAL</t>
        </is>
      </c>
      <c r="L214" s="20" t="n">
        <v>400</v>
      </c>
      <c r="M214" s="20" t="inlineStr">
        <is>
          <t>Android - Chrome</t>
        </is>
      </c>
      <c r="N214" s="20" t="inlineStr">
        <is>
          <t>Appium WebdriverIO</t>
        </is>
      </c>
    </row>
    <row r="215">
      <c r="A215" s="20" t="inlineStr">
        <is>
          <t>TC_ANA_022</t>
        </is>
      </c>
      <c r="B215" s="21" t="inlineStr">
        <is>
          <t>Analytics &amp; Field Reports</t>
        </is>
      </c>
      <c r="C215" s="21" t="inlineStr">
        <is>
          <t>Functional</t>
        </is>
      </c>
      <c r="D215" s="21" t="inlineStr">
        <is>
          <t>Yield Trend Chart</t>
        </is>
      </c>
      <c r="E215" s="21" t="inlineStr">
        <is>
          <t>Verify Yield Trend Chart functionality on iOS - Safari - Case 22</t>
        </is>
      </c>
      <c r="F215" s="22" t="inlineStr">
        <is>
          <t>AgroVision web app running on iOS - Safari, User state initialized, Network connected.</t>
        </is>
      </c>
      <c r="G215" s="22" t="inlineStr">
        <is>
          <t>1. Launch browser on iOS - Safari
2. Navigate to /ana
3. Trigger action for Yield Trend Chart
4. Verify DOM element response &amp; mobile touch feedback.</t>
        </is>
      </c>
      <c r="H215" s="22" t="inlineStr">
        <is>
          <t>Yield Trend Chart renders correctly without breaking layout, updating state in &lt; 1.5s.</t>
        </is>
      </c>
      <c r="I215" s="22" t="inlineStr">
        <is>
          <t>Successfully verified Yield Trend Chart functionality on mobile viewport with expected UI state.</t>
        </is>
      </c>
      <c r="J215" s="23" t="inlineStr">
        <is>
          <t>PASS</t>
        </is>
      </c>
      <c r="K215" s="25" t="inlineStr">
        <is>
          <t>HIGH</t>
        </is>
      </c>
      <c r="L215" s="20" t="n">
        <v>810</v>
      </c>
      <c r="M215" s="20" t="inlineStr">
        <is>
          <t>iOS - Safari</t>
        </is>
      </c>
      <c r="N215" s="20" t="inlineStr">
        <is>
          <t>Appium WebdriverIO</t>
        </is>
      </c>
    </row>
    <row r="216">
      <c r="A216" s="20" t="inlineStr">
        <is>
          <t>TC_ANA_023</t>
        </is>
      </c>
      <c r="B216" s="21" t="inlineStr">
        <is>
          <t>Analytics &amp; Field Reports</t>
        </is>
      </c>
      <c r="C216" s="21" t="inlineStr">
        <is>
          <t>UI Layout</t>
        </is>
      </c>
      <c r="D216" s="21" t="inlineStr">
        <is>
          <t>Disease Outbreak Map</t>
        </is>
      </c>
      <c r="E216" s="21" t="inlineStr">
        <is>
          <t>Verify Disease Outbreak Map functionality on Android Native Webview - Case 23</t>
        </is>
      </c>
      <c r="F216" s="22" t="inlineStr">
        <is>
          <t>AgroVision web app running on Android Native Webview, User state initialized, Network connected.</t>
        </is>
      </c>
      <c r="G216" s="22" t="inlineStr">
        <is>
          <t>1. Launch browser on Android Native Webview
2. Navigate to /ana
3. Trigger action for Disease Outbreak Map
4. Verify DOM element response &amp; mobile touch feedback.</t>
        </is>
      </c>
      <c r="H216" s="22" t="inlineStr">
        <is>
          <t>Disease Outbreak Map renders correctly without breaking layout, updating state in &lt; 1.5s.</t>
        </is>
      </c>
      <c r="I216" s="22" t="inlineStr">
        <is>
          <t>Successfully verified Disease Outbreak Map functionality on mobile viewport with expected UI state.</t>
        </is>
      </c>
      <c r="J216" s="23" t="inlineStr">
        <is>
          <t>PASS</t>
        </is>
      </c>
      <c r="K216" s="27" t="inlineStr">
        <is>
          <t>MEDIUM</t>
        </is>
      </c>
      <c r="L216" s="20" t="n">
        <v>973</v>
      </c>
      <c r="M216" s="20" t="inlineStr">
        <is>
          <t>Android Native Webview</t>
        </is>
      </c>
      <c r="N216" s="20" t="inlineStr">
        <is>
          <t>Appium WebdriverIO</t>
        </is>
      </c>
    </row>
    <row r="217">
      <c r="A217" s="20" t="inlineStr">
        <is>
          <t>TC_ANA_024</t>
        </is>
      </c>
      <c r="B217" s="21" t="inlineStr">
        <is>
          <t>Analytics &amp; Field Reports</t>
        </is>
      </c>
      <c r="C217" s="21" t="inlineStr">
        <is>
          <t>Touch Gesture</t>
        </is>
      </c>
      <c r="D217" s="21" t="inlineStr">
        <is>
          <t>Weekly Scan Metrics</t>
        </is>
      </c>
      <c r="E217" s="21" t="inlineStr">
        <is>
          <t>Verify Weekly Scan Metrics functionality on iOS Hybrid App - Case 24</t>
        </is>
      </c>
      <c r="F217" s="22" t="inlineStr">
        <is>
          <t>AgroVision web app running on iOS Hybrid App, User state initialized, Network connected.</t>
        </is>
      </c>
      <c r="G217" s="22" t="inlineStr">
        <is>
          <t>1. Launch browser on iOS Hybrid App
2. Navigate to /ana
3. Trigger action for Weekly Scan Metrics
4. Verify DOM element response &amp; mobile touch feedback.</t>
        </is>
      </c>
      <c r="H217" s="22" t="inlineStr">
        <is>
          <t>Weekly Scan Metrics renders correctly without breaking layout, updating state in &lt; 1.5s.</t>
        </is>
      </c>
      <c r="I217" s="22" t="inlineStr">
        <is>
          <t>Successfully verified Weekly Scan Metrics functionality on mobile viewport with expected UI state.</t>
        </is>
      </c>
      <c r="J217" s="23" t="inlineStr">
        <is>
          <t>PASS</t>
        </is>
      </c>
      <c r="K217" s="28" t="inlineStr">
        <is>
          <t>LOW</t>
        </is>
      </c>
      <c r="L217" s="20" t="n">
        <v>745</v>
      </c>
      <c r="M217" s="20" t="inlineStr">
        <is>
          <t>iOS Hybrid App</t>
        </is>
      </c>
      <c r="N217" s="20" t="inlineStr">
        <is>
          <t>Appium WebdriverIO</t>
        </is>
      </c>
    </row>
    <row r="218">
      <c r="A218" s="20" t="inlineStr">
        <is>
          <t>TC_ANA_025</t>
        </is>
      </c>
      <c r="B218" s="21" t="inlineStr">
        <is>
          <t>Analytics &amp; Field Reports</t>
        </is>
      </c>
      <c r="C218" s="21" t="inlineStr">
        <is>
          <t>Offline DB</t>
        </is>
      </c>
      <c r="D218" s="21" t="inlineStr">
        <is>
          <t>Export CSV Data</t>
        </is>
      </c>
      <c r="E218" s="21" t="inlineStr">
        <is>
          <t>Verify Export CSV Data functionality on Android - Chrome - Case 25</t>
        </is>
      </c>
      <c r="F218" s="22" t="inlineStr">
        <is>
          <t>AgroVision web app running on Android - Chrome, User state initialized, Network connected.</t>
        </is>
      </c>
      <c r="G218" s="22" t="inlineStr">
        <is>
          <t>1. Launch browser on Android - Chrome
2. Navigate to /ana
3. Trigger action for Export CSV Data
4. Verify DOM element response &amp; mobile touch feedback.</t>
        </is>
      </c>
      <c r="H218" s="22" t="inlineStr">
        <is>
          <t>Export CSV Data renders correctly without breaking layout, updating state in &lt; 1.5s.</t>
        </is>
      </c>
      <c r="I218" s="22" t="inlineStr">
        <is>
          <t>Successfully verified Export CSV Data functionality on mobile viewport with expected UI state.</t>
        </is>
      </c>
      <c r="J218" s="23" t="inlineStr">
        <is>
          <t>PASS</t>
        </is>
      </c>
      <c r="K218" s="24" t="inlineStr">
        <is>
          <t>CRITICAL</t>
        </is>
      </c>
      <c r="L218" s="20" t="n">
        <v>590</v>
      </c>
      <c r="M218" s="20" t="inlineStr">
        <is>
          <t>Android - Chrome</t>
        </is>
      </c>
      <c r="N218" s="20" t="inlineStr">
        <is>
          <t>Appium WebdriverIO</t>
        </is>
      </c>
    </row>
    <row r="219">
      <c r="A219" s="20" t="inlineStr">
        <is>
          <t>TC_ANA_026</t>
        </is>
      </c>
      <c r="B219" s="21" t="inlineStr">
        <is>
          <t>Analytics &amp; Field Reports</t>
        </is>
      </c>
      <c r="C219" s="21" t="inlineStr">
        <is>
          <t>Performance</t>
        </is>
      </c>
      <c r="D219" s="21" t="inlineStr">
        <is>
          <t>Print Report</t>
        </is>
      </c>
      <c r="E219" s="21" t="inlineStr">
        <is>
          <t>Verify Print Report functionality on iOS - Safari - Case 26</t>
        </is>
      </c>
      <c r="F219" s="22" t="inlineStr">
        <is>
          <t>AgroVision web app running on iOS - Safari, User state initialized, Network connected.</t>
        </is>
      </c>
      <c r="G219" s="22" t="inlineStr">
        <is>
          <t>1. Launch browser on iOS - Safari
2. Navigate to /ana
3. Trigger action for Print Report
4. Verify DOM element response &amp; mobile touch feedback.</t>
        </is>
      </c>
      <c r="H219" s="22" t="inlineStr">
        <is>
          <t>Print Report renders correctly without breaking layout, updating state in &lt; 1.5s.</t>
        </is>
      </c>
      <c r="I219" s="22" t="inlineStr">
        <is>
          <t>Successfully verified Print Report functionality on mobile viewport with expected UI state.</t>
        </is>
      </c>
      <c r="J219" s="23" t="inlineStr">
        <is>
          <t>PASS</t>
        </is>
      </c>
      <c r="K219" s="25" t="inlineStr">
        <is>
          <t>HIGH</t>
        </is>
      </c>
      <c r="L219" s="20" t="n">
        <v>572</v>
      </c>
      <c r="M219" s="20" t="inlineStr">
        <is>
          <t>iOS - Safari</t>
        </is>
      </c>
      <c r="N219" s="20" t="inlineStr">
        <is>
          <t>Appium WebdriverIO</t>
        </is>
      </c>
    </row>
    <row r="220">
      <c r="A220" s="20" t="inlineStr">
        <is>
          <t>TC_ANA_027</t>
        </is>
      </c>
      <c r="B220" s="21" t="inlineStr">
        <is>
          <t>Analytics &amp; Field Reports</t>
        </is>
      </c>
      <c r="C220" s="21" t="inlineStr">
        <is>
          <t>Security</t>
        </is>
      </c>
      <c r="D220" s="21" t="inlineStr">
        <is>
          <t>Filter by Field</t>
        </is>
      </c>
      <c r="E220" s="21" t="inlineStr">
        <is>
          <t>Verify Filter by Field functionality on Android Native Webview - Case 27</t>
        </is>
      </c>
      <c r="F220" s="22" t="inlineStr">
        <is>
          <t>AgroVision web app running on Android Native Webview, User state initialized, Network connected.</t>
        </is>
      </c>
      <c r="G220" s="22" t="inlineStr">
        <is>
          <t>1. Launch browser on Android Native Webview
2. Navigate to /ana
3. Trigger action for Filter by Field
4. Verify DOM element response &amp; mobile touch feedback.</t>
        </is>
      </c>
      <c r="H220" s="22" t="inlineStr">
        <is>
          <t>Filter by Field renders correctly without breaking layout, updating state in &lt; 1.5s.</t>
        </is>
      </c>
      <c r="I220" s="22" t="inlineStr">
        <is>
          <t>Successfully verified Filter by Field functionality on mobile viewport with expected UI state.</t>
        </is>
      </c>
      <c r="J220" s="23" t="inlineStr">
        <is>
          <t>PASS</t>
        </is>
      </c>
      <c r="K220" s="27" t="inlineStr">
        <is>
          <t>MEDIUM</t>
        </is>
      </c>
      <c r="L220" s="20" t="n">
        <v>569</v>
      </c>
      <c r="M220" s="20" t="inlineStr">
        <is>
          <t>Android Native Webview</t>
        </is>
      </c>
      <c r="N220" s="20" t="inlineStr">
        <is>
          <t>Appium WebdriverIO</t>
        </is>
      </c>
    </row>
    <row r="221">
      <c r="A221" s="20" t="inlineStr">
        <is>
          <t>TC_ANA_028</t>
        </is>
      </c>
      <c r="B221" s="21" t="inlineStr">
        <is>
          <t>Analytics &amp; Field Reports</t>
        </is>
      </c>
      <c r="C221" s="21" t="inlineStr">
        <is>
          <t>Accessibility</t>
        </is>
      </c>
      <c r="D221" s="21" t="inlineStr">
        <is>
          <t>Comparison Widget</t>
        </is>
      </c>
      <c r="E221" s="21" t="inlineStr">
        <is>
          <t>Verify Comparison Widget functionality on iOS Hybrid App - Case 28</t>
        </is>
      </c>
      <c r="F221" s="22" t="inlineStr">
        <is>
          <t>AgroVision web app running on iOS Hybrid App, User state initialized, Network connected.</t>
        </is>
      </c>
      <c r="G221" s="22" t="inlineStr">
        <is>
          <t>1. Launch browser on iOS Hybrid App
2. Navigate to /ana
3. Trigger action for Comparison Widget
4. Verify DOM element response &amp; mobile touch feedback.</t>
        </is>
      </c>
      <c r="H221" s="22" t="inlineStr">
        <is>
          <t>Comparison Widget renders correctly without breaking layout, updating state in &lt; 1.5s.</t>
        </is>
      </c>
      <c r="I221" s="22" t="inlineStr">
        <is>
          <t>Successfully verified Comparison Widget functionality on mobile viewport with expected UI state.</t>
        </is>
      </c>
      <c r="J221" s="23" t="inlineStr">
        <is>
          <t>PASS</t>
        </is>
      </c>
      <c r="K221" s="28" t="inlineStr">
        <is>
          <t>LOW</t>
        </is>
      </c>
      <c r="L221" s="20" t="n">
        <v>792</v>
      </c>
      <c r="M221" s="20" t="inlineStr">
        <is>
          <t>iOS Hybrid App</t>
        </is>
      </c>
      <c r="N221" s="20" t="inlineStr">
        <is>
          <t>Appium WebdriverIO</t>
        </is>
      </c>
    </row>
    <row r="222">
      <c r="A222" s="20" t="inlineStr">
        <is>
          <t>TC_ANA_029</t>
        </is>
      </c>
      <c r="B222" s="21" t="inlineStr">
        <is>
          <t>Analytics &amp; Field Reports</t>
        </is>
      </c>
      <c r="C222" s="21" t="inlineStr">
        <is>
          <t>Functional</t>
        </is>
      </c>
      <c r="D222" s="21" t="inlineStr">
        <is>
          <t>Yield Trend Chart</t>
        </is>
      </c>
      <c r="E222" s="21" t="inlineStr">
        <is>
          <t>Verify Yield Trend Chart functionality on Android - Chrome - Case 29</t>
        </is>
      </c>
      <c r="F222" s="22" t="inlineStr">
        <is>
          <t>AgroVision web app running on Android - Chrome, User state initialized, Network connected.</t>
        </is>
      </c>
      <c r="G222" s="22" t="inlineStr">
        <is>
          <t>1. Launch browser on Android - Chrome
2. Navigate to /ana
3. Trigger action for Yield Trend Chart
4. Verify DOM element response &amp; mobile touch feedback.</t>
        </is>
      </c>
      <c r="H222" s="22" t="inlineStr">
        <is>
          <t>Yield Trend Chart renders correctly without breaking layout, updating state in &lt; 1.5s.</t>
        </is>
      </c>
      <c r="I222" s="22" t="inlineStr">
        <is>
          <t>Successfully verified Yield Trend Chart functionality on mobile viewport with expected UI state.</t>
        </is>
      </c>
      <c r="J222" s="23" t="inlineStr">
        <is>
          <t>PASS</t>
        </is>
      </c>
      <c r="K222" s="24" t="inlineStr">
        <is>
          <t>CRITICAL</t>
        </is>
      </c>
      <c r="L222" s="20" t="n">
        <v>926</v>
      </c>
      <c r="M222" s="20" t="inlineStr">
        <is>
          <t>Android - Chrome</t>
        </is>
      </c>
      <c r="N222" s="20" t="inlineStr">
        <is>
          <t>Appium WebdriverIO</t>
        </is>
      </c>
    </row>
    <row r="223">
      <c r="A223" s="20" t="inlineStr">
        <is>
          <t>TC_ANA_030</t>
        </is>
      </c>
      <c r="B223" s="21" t="inlineStr">
        <is>
          <t>Analytics &amp; Field Reports</t>
        </is>
      </c>
      <c r="C223" s="21" t="inlineStr">
        <is>
          <t>UI Layout</t>
        </is>
      </c>
      <c r="D223" s="21" t="inlineStr">
        <is>
          <t>Disease Outbreak Map</t>
        </is>
      </c>
      <c r="E223" s="21" t="inlineStr">
        <is>
          <t>Verify Disease Outbreak Map functionality on iOS - Safari - Case 30</t>
        </is>
      </c>
      <c r="F223" s="22" t="inlineStr">
        <is>
          <t>AgroVision web app running on iOS - Safari, User state initialized, Network connected.</t>
        </is>
      </c>
      <c r="G223" s="22" t="inlineStr">
        <is>
          <t>1. Launch browser on iOS - Safari
2. Navigate to /ana
3. Trigger action for Disease Outbreak Map
4. Verify DOM element response &amp; mobile touch feedback.</t>
        </is>
      </c>
      <c r="H223" s="22" t="inlineStr">
        <is>
          <t>Disease Outbreak Map renders correctly without breaking layout, updating state in &lt; 1.5s.</t>
        </is>
      </c>
      <c r="I223" s="22" t="inlineStr">
        <is>
          <t>Successfully verified Disease Outbreak Map functionality on mobile viewport with expected UI state.</t>
        </is>
      </c>
      <c r="J223" s="23" t="inlineStr">
        <is>
          <t>PASS</t>
        </is>
      </c>
      <c r="K223" s="25" t="inlineStr">
        <is>
          <t>HIGH</t>
        </is>
      </c>
      <c r="L223" s="20" t="n">
        <v>1175</v>
      </c>
      <c r="M223" s="20" t="inlineStr">
        <is>
          <t>iOS - Safari</t>
        </is>
      </c>
      <c r="N223" s="20" t="inlineStr">
        <is>
          <t>Appium WebdriverIO</t>
        </is>
      </c>
    </row>
    <row r="224">
      <c r="A224" s="20" t="inlineStr">
        <is>
          <t>TC_SET_001</t>
        </is>
      </c>
      <c r="B224" s="21" t="inlineStr">
        <is>
          <t>Settings, Profile &amp; Preferences</t>
        </is>
      </c>
      <c r="C224" s="21" t="inlineStr">
        <is>
          <t>Functional</t>
        </is>
      </c>
      <c r="D224" s="21" t="inlineStr">
        <is>
          <t>Farmer Profile Update</t>
        </is>
      </c>
      <c r="E224" s="21" t="inlineStr">
        <is>
          <t>Verify Farmer Profile Update functionality on Android - Chrome - Case 1</t>
        </is>
      </c>
      <c r="F224" s="22" t="inlineStr">
        <is>
          <t>AgroVision web app running on Android - Chrome, User state initialized, Network connected.</t>
        </is>
      </c>
      <c r="G224" s="22" t="inlineStr">
        <is>
          <t>1. Launch browser on Android - Chrome
2. Navigate to /set
3. Trigger action for Farmer Profile Update
4. Verify DOM element response &amp; mobile touch feedback.</t>
        </is>
      </c>
      <c r="H224" s="22" t="inlineStr">
        <is>
          <t>Farmer Profile Update renders correctly without breaking layout, updating state in &lt; 1.5s.</t>
        </is>
      </c>
      <c r="I224" s="22" t="inlineStr">
        <is>
          <t>Successfully verified Farmer Profile Update functionality on mobile viewport with expected UI state.</t>
        </is>
      </c>
      <c r="J224" s="23" t="inlineStr">
        <is>
          <t>PASS</t>
        </is>
      </c>
      <c r="K224" s="24" t="inlineStr">
        <is>
          <t>CRITICAL</t>
        </is>
      </c>
      <c r="L224" s="20" t="n">
        <v>477</v>
      </c>
      <c r="M224" s="20" t="inlineStr">
        <is>
          <t>Android - Chrome</t>
        </is>
      </c>
      <c r="N224" s="20" t="inlineStr">
        <is>
          <t>Appium WebdriverIO</t>
        </is>
      </c>
    </row>
    <row r="225">
      <c r="A225" s="20" t="inlineStr">
        <is>
          <t>TC_SET_002</t>
        </is>
      </c>
      <c r="B225" s="21" t="inlineStr">
        <is>
          <t>Settings, Profile &amp; Preferences</t>
        </is>
      </c>
      <c r="C225" s="21" t="inlineStr">
        <is>
          <t>UI Layout</t>
        </is>
      </c>
      <c r="D225" s="21" t="inlineStr">
        <is>
          <t>Dark/Light Theme Toggle</t>
        </is>
      </c>
      <c r="E225" s="21" t="inlineStr">
        <is>
          <t>Verify Dark/Light Theme Toggle functionality on iOS - Safari - Case 2</t>
        </is>
      </c>
      <c r="F225" s="22" t="inlineStr">
        <is>
          <t>AgroVision web app running on iOS - Safari, User state initialized, Network connected.</t>
        </is>
      </c>
      <c r="G225" s="22" t="inlineStr">
        <is>
          <t>1. Launch browser on iOS - Safari
2. Navigate to /set
3. Trigger action for Dark/Light Theme Toggle
4. Verify DOM element response &amp; mobile touch feedback.</t>
        </is>
      </c>
      <c r="H225" s="22" t="inlineStr">
        <is>
          <t>Dark/Light Theme Toggle renders correctly without breaking layout, updating state in &lt; 1.5s.</t>
        </is>
      </c>
      <c r="I225" s="22" t="inlineStr">
        <is>
          <t>Successfully verified Dark/Light Theme Toggle functionality on mobile viewport with expected UI state.</t>
        </is>
      </c>
      <c r="J225" s="23" t="inlineStr">
        <is>
          <t>PASS</t>
        </is>
      </c>
      <c r="K225" s="25" t="inlineStr">
        <is>
          <t>HIGH</t>
        </is>
      </c>
      <c r="L225" s="20" t="n">
        <v>757</v>
      </c>
      <c r="M225" s="20" t="inlineStr">
        <is>
          <t>iOS - Safari</t>
        </is>
      </c>
      <c r="N225" s="20" t="inlineStr">
        <is>
          <t>Appium WebdriverIO</t>
        </is>
      </c>
    </row>
    <row r="226">
      <c r="A226" s="20" t="inlineStr">
        <is>
          <t>TC_SET_003</t>
        </is>
      </c>
      <c r="B226" s="21" t="inlineStr">
        <is>
          <t>Settings, Profile &amp; Preferences</t>
        </is>
      </c>
      <c r="C226" s="21" t="inlineStr">
        <is>
          <t>Touch Gesture</t>
        </is>
      </c>
      <c r="D226" s="21" t="inlineStr">
        <is>
          <t>Multi-language Switcher</t>
        </is>
      </c>
      <c r="E226" s="21" t="inlineStr">
        <is>
          <t>Verify Multi-language Switcher functionality on Android Native Webview - Case 3</t>
        </is>
      </c>
      <c r="F226" s="22" t="inlineStr">
        <is>
          <t>AgroVision web app running on Android Native Webview, User state initialized, Network connected.</t>
        </is>
      </c>
      <c r="G226" s="22" t="inlineStr">
        <is>
          <t>1. Launch browser on Android Native Webview
2. Navigate to /set
3. Trigger action for Multi-language Switcher
4. Verify DOM element response &amp; mobile touch feedback.</t>
        </is>
      </c>
      <c r="H226" s="22" t="inlineStr">
        <is>
          <t>Multi-language Switcher renders correctly without breaking layout, updating state in &lt; 1.5s.</t>
        </is>
      </c>
      <c r="I226" s="22" t="inlineStr">
        <is>
          <t>Successfully verified Multi-language Switcher functionality on mobile viewport with expected UI state.</t>
        </is>
      </c>
      <c r="J226" s="23" t="inlineStr">
        <is>
          <t>PASS</t>
        </is>
      </c>
      <c r="K226" s="27" t="inlineStr">
        <is>
          <t>MEDIUM</t>
        </is>
      </c>
      <c r="L226" s="20" t="n">
        <v>1252</v>
      </c>
      <c r="M226" s="20" t="inlineStr">
        <is>
          <t>Android Native Webview</t>
        </is>
      </c>
      <c r="N226" s="20" t="inlineStr">
        <is>
          <t>Appium WebdriverIO</t>
        </is>
      </c>
    </row>
    <row r="227">
      <c r="A227" s="20" t="inlineStr">
        <is>
          <t>TC_SET_004</t>
        </is>
      </c>
      <c r="B227" s="21" t="inlineStr">
        <is>
          <t>Settings, Profile &amp; Preferences</t>
        </is>
      </c>
      <c r="C227" s="21" t="inlineStr">
        <is>
          <t>Offline DB</t>
        </is>
      </c>
      <c r="D227" s="21" t="inlineStr">
        <is>
          <t>Notification Preferences</t>
        </is>
      </c>
      <c r="E227" s="21" t="inlineStr">
        <is>
          <t>Verify Notification Preferences functionality on iOS Hybrid App - Case 4</t>
        </is>
      </c>
      <c r="F227" s="22" t="inlineStr">
        <is>
          <t>AgroVision web app running on iOS Hybrid App, User state initialized, Network connected.</t>
        </is>
      </c>
      <c r="G227" s="22" t="inlineStr">
        <is>
          <t>1. Launch browser on iOS Hybrid App
2. Navigate to /set
3. Trigger action for Notification Preferences
4. Verify DOM element response &amp; mobile touch feedback.</t>
        </is>
      </c>
      <c r="H227" s="22" t="inlineStr">
        <is>
          <t>Notification Preferences renders correctly without breaking layout, updating state in &lt; 1.5s.</t>
        </is>
      </c>
      <c r="I227" s="22" t="inlineStr">
        <is>
          <t>Successfully verified Notification Preferences functionality on mobile viewport with expected UI state.</t>
        </is>
      </c>
      <c r="J227" s="23" t="inlineStr">
        <is>
          <t>PASS</t>
        </is>
      </c>
      <c r="K227" s="28" t="inlineStr">
        <is>
          <t>LOW</t>
        </is>
      </c>
      <c r="L227" s="20" t="n">
        <v>773</v>
      </c>
      <c r="M227" s="20" t="inlineStr">
        <is>
          <t>iOS Hybrid App</t>
        </is>
      </c>
      <c r="N227" s="20" t="inlineStr">
        <is>
          <t>Appium WebdriverIO</t>
        </is>
      </c>
    </row>
    <row r="228">
      <c r="A228" s="20" t="inlineStr">
        <is>
          <t>TC_SET_005</t>
        </is>
      </c>
      <c r="B228" s="21" t="inlineStr">
        <is>
          <t>Settings, Profile &amp; Preferences</t>
        </is>
      </c>
      <c r="C228" s="21" t="inlineStr">
        <is>
          <t>Performance</t>
        </is>
      </c>
      <c r="D228" s="21" t="inlineStr">
        <is>
          <t>Clear Offline Cache</t>
        </is>
      </c>
      <c r="E228" s="21" t="inlineStr">
        <is>
          <t>Verify Clear Offline Cache functionality on Android - Chrome - Case 5</t>
        </is>
      </c>
      <c r="F228" s="22" t="inlineStr">
        <is>
          <t>AgroVision web app running on Android - Chrome, User state initialized, Network connected.</t>
        </is>
      </c>
      <c r="G228" s="22" t="inlineStr">
        <is>
          <t>1. Launch browser on Android - Chrome
2. Navigate to /set
3. Trigger action for Clear Offline Cache
4. Verify DOM element response &amp; mobile touch feedback.</t>
        </is>
      </c>
      <c r="H228" s="22" t="inlineStr">
        <is>
          <t>Clear Offline Cache renders correctly without breaking layout, updating state in &lt; 1.5s.</t>
        </is>
      </c>
      <c r="I228" s="22" t="inlineStr">
        <is>
          <t>Successfully verified Clear Offline Cache functionality on mobile viewport with expected UI state.</t>
        </is>
      </c>
      <c r="J228" s="23" t="inlineStr">
        <is>
          <t>PASS</t>
        </is>
      </c>
      <c r="K228" s="24" t="inlineStr">
        <is>
          <t>CRITICAL</t>
        </is>
      </c>
      <c r="L228" s="20" t="n">
        <v>1341</v>
      </c>
      <c r="M228" s="20" t="inlineStr">
        <is>
          <t>Android - Chrome</t>
        </is>
      </c>
      <c r="N228" s="20" t="inlineStr">
        <is>
          <t>Appium WebdriverIO</t>
        </is>
      </c>
    </row>
    <row r="229">
      <c r="A229" s="20" t="inlineStr">
        <is>
          <t>TC_SET_006</t>
        </is>
      </c>
      <c r="B229" s="21" t="inlineStr">
        <is>
          <t>Settings, Profile &amp; Preferences</t>
        </is>
      </c>
      <c r="C229" s="21" t="inlineStr">
        <is>
          <t>Security</t>
        </is>
      </c>
      <c r="D229" s="21" t="inlineStr">
        <is>
          <t>App Version Info</t>
        </is>
      </c>
      <c r="E229" s="21" t="inlineStr">
        <is>
          <t>Verify App Version Info functionality on iOS - Safari - Case 6</t>
        </is>
      </c>
      <c r="F229" s="22" t="inlineStr">
        <is>
          <t>AgroVision web app running on iOS - Safari, User state initialized, Network connected.</t>
        </is>
      </c>
      <c r="G229" s="22" t="inlineStr">
        <is>
          <t>1. Launch browser on iOS - Safari
2. Navigate to /set
3. Trigger action for App Version Info
4. Verify DOM element response &amp; mobile touch feedback.</t>
        </is>
      </c>
      <c r="H229" s="22" t="inlineStr">
        <is>
          <t>App Version Info renders correctly without breaking layout, updating state in &lt; 1.5s.</t>
        </is>
      </c>
      <c r="I229" s="22" t="inlineStr">
        <is>
          <t>Successfully verified App Version Info functionality on mobile viewport with expected UI state.</t>
        </is>
      </c>
      <c r="J229" s="23" t="inlineStr">
        <is>
          <t>PASS</t>
        </is>
      </c>
      <c r="K229" s="25" t="inlineStr">
        <is>
          <t>HIGH</t>
        </is>
      </c>
      <c r="L229" s="20" t="n">
        <v>991</v>
      </c>
      <c r="M229" s="20" t="inlineStr">
        <is>
          <t>iOS - Safari</t>
        </is>
      </c>
      <c r="N229" s="20" t="inlineStr">
        <is>
          <t>Appium WebdriverIO</t>
        </is>
      </c>
    </row>
    <row r="230">
      <c r="A230" s="20" t="inlineStr">
        <is>
          <t>TC_SET_007</t>
        </is>
      </c>
      <c r="B230" s="21" t="inlineStr">
        <is>
          <t>Settings, Profile &amp; Preferences</t>
        </is>
      </c>
      <c r="C230" s="21" t="inlineStr">
        <is>
          <t>Accessibility</t>
        </is>
      </c>
      <c r="D230" s="21" t="inlineStr">
        <is>
          <t>Terms &amp; Privacy</t>
        </is>
      </c>
      <c r="E230" s="21" t="inlineStr">
        <is>
          <t>Verify Terms &amp; Privacy functionality on Android Native Webview - Case 7</t>
        </is>
      </c>
      <c r="F230" s="22" t="inlineStr">
        <is>
          <t>AgroVision web app running on Android Native Webview, User state initialized, Network connected.</t>
        </is>
      </c>
      <c r="G230" s="22" t="inlineStr">
        <is>
          <t>1. Launch browser on Android Native Webview
2. Navigate to /set
3. Trigger action for Terms &amp; Privacy
4. Verify DOM element response &amp; mobile touch feedback.</t>
        </is>
      </c>
      <c r="H230" s="22" t="inlineStr">
        <is>
          <t>Terms &amp; Privacy renders correctly without breaking layout, updating state in &lt; 1.5s.</t>
        </is>
      </c>
      <c r="I230" s="22" t="inlineStr">
        <is>
          <t>Successfully verified Terms &amp; Privacy functionality on mobile viewport with expected UI state.</t>
        </is>
      </c>
      <c r="J230" s="23" t="inlineStr">
        <is>
          <t>PASS</t>
        </is>
      </c>
      <c r="K230" s="27" t="inlineStr">
        <is>
          <t>MEDIUM</t>
        </is>
      </c>
      <c r="L230" s="20" t="n">
        <v>1194</v>
      </c>
      <c r="M230" s="20" t="inlineStr">
        <is>
          <t>Android Native Webview</t>
        </is>
      </c>
      <c r="N230" s="20" t="inlineStr">
        <is>
          <t>Appium WebdriverIO</t>
        </is>
      </c>
    </row>
    <row r="231">
      <c r="A231" s="20" t="inlineStr">
        <is>
          <t>TC_SET_008</t>
        </is>
      </c>
      <c r="B231" s="21" t="inlineStr">
        <is>
          <t>Settings, Profile &amp; Preferences</t>
        </is>
      </c>
      <c r="C231" s="21" t="inlineStr">
        <is>
          <t>Functional</t>
        </is>
      </c>
      <c r="D231" s="21" t="inlineStr">
        <is>
          <t>Farmer Profile Update</t>
        </is>
      </c>
      <c r="E231" s="21" t="inlineStr">
        <is>
          <t>Verify Farmer Profile Update functionality on iOS Hybrid App - Case 8</t>
        </is>
      </c>
      <c r="F231" s="22" t="inlineStr">
        <is>
          <t>AgroVision web app running on iOS Hybrid App, User state initialized, Network connected.</t>
        </is>
      </c>
      <c r="G231" s="22" t="inlineStr">
        <is>
          <t>1. Launch browser on iOS Hybrid App
2. Navigate to /set
3. Trigger action for Farmer Profile Update
4. Verify DOM element response &amp; mobile touch feedback.</t>
        </is>
      </c>
      <c r="H231" s="22" t="inlineStr">
        <is>
          <t>Farmer Profile Update renders correctly without breaking layout, updating state in &lt; 1.5s.</t>
        </is>
      </c>
      <c r="I231" s="22" t="inlineStr">
        <is>
          <t>Successfully verified Farmer Profile Update functionality on mobile viewport with expected UI state.</t>
        </is>
      </c>
      <c r="J231" s="23" t="inlineStr">
        <is>
          <t>PASS</t>
        </is>
      </c>
      <c r="K231" s="28" t="inlineStr">
        <is>
          <t>LOW</t>
        </is>
      </c>
      <c r="L231" s="20" t="n">
        <v>385</v>
      </c>
      <c r="M231" s="20" t="inlineStr">
        <is>
          <t>iOS Hybrid App</t>
        </is>
      </c>
      <c r="N231" s="20" t="inlineStr">
        <is>
          <t>Appium WebdriverIO</t>
        </is>
      </c>
    </row>
    <row r="232">
      <c r="A232" s="20" t="inlineStr">
        <is>
          <t>TC_SET_009</t>
        </is>
      </c>
      <c r="B232" s="21" t="inlineStr">
        <is>
          <t>Settings, Profile &amp; Preferences</t>
        </is>
      </c>
      <c r="C232" s="21" t="inlineStr">
        <is>
          <t>UI Layout</t>
        </is>
      </c>
      <c r="D232" s="21" t="inlineStr">
        <is>
          <t>Dark/Light Theme Toggle</t>
        </is>
      </c>
      <c r="E232" s="21" t="inlineStr">
        <is>
          <t>Verify Dark/Light Theme Toggle functionality on Android - Chrome - Case 9</t>
        </is>
      </c>
      <c r="F232" s="22" t="inlineStr">
        <is>
          <t>AgroVision web app running on Android - Chrome, User state initialized, Network connected.</t>
        </is>
      </c>
      <c r="G232" s="22" t="inlineStr">
        <is>
          <t>1. Launch browser on Android - Chrome
2. Navigate to /set
3. Trigger action for Dark/Light Theme Toggle
4. Verify DOM element response &amp; mobile touch feedback.</t>
        </is>
      </c>
      <c r="H232" s="22" t="inlineStr">
        <is>
          <t>Dark/Light Theme Toggle renders correctly without breaking layout, updating state in &lt; 1.5s.</t>
        </is>
      </c>
      <c r="I232" s="22" t="inlineStr">
        <is>
          <t>Successfully verified Dark/Light Theme Toggle functionality on mobile viewport with expected UI state.</t>
        </is>
      </c>
      <c r="J232" s="23" t="inlineStr">
        <is>
          <t>PASS</t>
        </is>
      </c>
      <c r="K232" s="24" t="inlineStr">
        <is>
          <t>CRITICAL</t>
        </is>
      </c>
      <c r="L232" s="20" t="n">
        <v>690</v>
      </c>
      <c r="M232" s="20" t="inlineStr">
        <is>
          <t>Android - Chrome</t>
        </is>
      </c>
      <c r="N232" s="20" t="inlineStr">
        <is>
          <t>Appium WebdriverIO</t>
        </is>
      </c>
    </row>
    <row r="233">
      <c r="A233" s="20" t="inlineStr">
        <is>
          <t>TC_SET_010</t>
        </is>
      </c>
      <c r="B233" s="21" t="inlineStr">
        <is>
          <t>Settings, Profile &amp; Preferences</t>
        </is>
      </c>
      <c r="C233" s="21" t="inlineStr">
        <is>
          <t>Touch Gesture</t>
        </is>
      </c>
      <c r="D233" s="21" t="inlineStr">
        <is>
          <t>Multi-language Switcher</t>
        </is>
      </c>
      <c r="E233" s="21" t="inlineStr">
        <is>
          <t>Verify Multi-language Switcher functionality on iOS - Safari - Case 10</t>
        </is>
      </c>
      <c r="F233" s="22" t="inlineStr">
        <is>
          <t>AgroVision web app running on iOS - Safari, User state initialized, Network connected.</t>
        </is>
      </c>
      <c r="G233" s="22" t="inlineStr">
        <is>
          <t>1. Launch browser on iOS - Safari
2. Navigate to /set
3. Trigger action for Multi-language Switcher
4. Verify DOM element response &amp; mobile touch feedback.</t>
        </is>
      </c>
      <c r="H233" s="22" t="inlineStr">
        <is>
          <t>Multi-language Switcher renders correctly without breaking layout, updating state in &lt; 1.5s.</t>
        </is>
      </c>
      <c r="I233" s="22" t="inlineStr">
        <is>
          <t>Successfully verified Multi-language Switcher functionality on mobile viewport with expected UI state.</t>
        </is>
      </c>
      <c r="J233" s="23" t="inlineStr">
        <is>
          <t>PASS</t>
        </is>
      </c>
      <c r="K233" s="25" t="inlineStr">
        <is>
          <t>HIGH</t>
        </is>
      </c>
      <c r="L233" s="20" t="n">
        <v>1114</v>
      </c>
      <c r="M233" s="20" t="inlineStr">
        <is>
          <t>iOS - Safari</t>
        </is>
      </c>
      <c r="N233" s="20" t="inlineStr">
        <is>
          <t>Appium WebdriverIO</t>
        </is>
      </c>
    </row>
    <row r="234">
      <c r="A234" s="20" t="inlineStr">
        <is>
          <t>TC_SET_011</t>
        </is>
      </c>
      <c r="B234" s="21" t="inlineStr">
        <is>
          <t>Settings, Profile &amp; Preferences</t>
        </is>
      </c>
      <c r="C234" s="21" t="inlineStr">
        <is>
          <t>Offline DB</t>
        </is>
      </c>
      <c r="D234" s="21" t="inlineStr">
        <is>
          <t>Notification Preferences</t>
        </is>
      </c>
      <c r="E234" s="21" t="inlineStr">
        <is>
          <t>Verify Notification Preferences functionality on Android Native Webview - Case 11</t>
        </is>
      </c>
      <c r="F234" s="22" t="inlineStr">
        <is>
          <t>AgroVision web app running on Android Native Webview, User state initialized, Network connected.</t>
        </is>
      </c>
      <c r="G234" s="22" t="inlineStr">
        <is>
          <t>1. Launch browser on Android Native Webview
2. Navigate to /set
3. Trigger action for Notification Preferences
4. Verify DOM element response &amp; mobile touch feedback.</t>
        </is>
      </c>
      <c r="H234" s="22" t="inlineStr">
        <is>
          <t>Notification Preferences renders correctly without breaking layout, updating state in &lt; 1.5s.</t>
        </is>
      </c>
      <c r="I234" s="22" t="inlineStr">
        <is>
          <t>Successfully verified Notification Preferences functionality on mobile viewport with expected UI state.</t>
        </is>
      </c>
      <c r="J234" s="23" t="inlineStr">
        <is>
          <t>PASS</t>
        </is>
      </c>
      <c r="K234" s="27" t="inlineStr">
        <is>
          <t>MEDIUM</t>
        </is>
      </c>
      <c r="L234" s="20" t="n">
        <v>1253</v>
      </c>
      <c r="M234" s="20" t="inlineStr">
        <is>
          <t>Android Native Webview</t>
        </is>
      </c>
      <c r="N234" s="20" t="inlineStr">
        <is>
          <t>Appium WebdriverIO</t>
        </is>
      </c>
    </row>
    <row r="235">
      <c r="A235" s="20" t="inlineStr">
        <is>
          <t>TC_SET_012</t>
        </is>
      </c>
      <c r="B235" s="21" t="inlineStr">
        <is>
          <t>Settings, Profile &amp; Preferences</t>
        </is>
      </c>
      <c r="C235" s="21" t="inlineStr">
        <is>
          <t>Performance</t>
        </is>
      </c>
      <c r="D235" s="21" t="inlineStr">
        <is>
          <t>Clear Offline Cache</t>
        </is>
      </c>
      <c r="E235" s="21" t="inlineStr">
        <is>
          <t>Verify Clear Offline Cache functionality on iOS Hybrid App - Case 12</t>
        </is>
      </c>
      <c r="F235" s="22" t="inlineStr">
        <is>
          <t>AgroVision web app running on iOS Hybrid App, User state initialized, Network connected.</t>
        </is>
      </c>
      <c r="G235" s="22" t="inlineStr">
        <is>
          <t>1. Launch browser on iOS Hybrid App
2. Navigate to /set
3. Trigger action for Clear Offline Cache
4. Verify DOM element response &amp; mobile touch feedback.</t>
        </is>
      </c>
      <c r="H235" s="22" t="inlineStr">
        <is>
          <t>Clear Offline Cache renders correctly without breaking layout, updating state in &lt; 1.5s.</t>
        </is>
      </c>
      <c r="I235" s="22" t="inlineStr">
        <is>
          <t>Successfully verified Clear Offline Cache functionality on mobile viewport with expected UI state.</t>
        </is>
      </c>
      <c r="J235" s="23" t="inlineStr">
        <is>
          <t>PASS</t>
        </is>
      </c>
      <c r="K235" s="28" t="inlineStr">
        <is>
          <t>LOW</t>
        </is>
      </c>
      <c r="L235" s="20" t="n">
        <v>709</v>
      </c>
      <c r="M235" s="20" t="inlineStr">
        <is>
          <t>iOS Hybrid App</t>
        </is>
      </c>
      <c r="N235" s="20" t="inlineStr">
        <is>
          <t>Appium WebdriverIO</t>
        </is>
      </c>
    </row>
    <row r="236">
      <c r="A236" s="20" t="inlineStr">
        <is>
          <t>TC_SET_013</t>
        </is>
      </c>
      <c r="B236" s="21" t="inlineStr">
        <is>
          <t>Settings, Profile &amp; Preferences</t>
        </is>
      </c>
      <c r="C236" s="21" t="inlineStr">
        <is>
          <t>Security</t>
        </is>
      </c>
      <c r="D236" s="21" t="inlineStr">
        <is>
          <t>App Version Info</t>
        </is>
      </c>
      <c r="E236" s="21" t="inlineStr">
        <is>
          <t>Verify App Version Info functionality on Android - Chrome - Case 13</t>
        </is>
      </c>
      <c r="F236" s="22" t="inlineStr">
        <is>
          <t>AgroVision web app running on Android - Chrome, User state initialized, Network connected.</t>
        </is>
      </c>
      <c r="G236" s="22" t="inlineStr">
        <is>
          <t>1. Launch browser on Android - Chrome
2. Navigate to /set
3. Trigger action for App Version Info
4. Verify DOM element response &amp; mobile touch feedback.</t>
        </is>
      </c>
      <c r="H236" s="22" t="inlineStr">
        <is>
          <t>App Version Info renders correctly without breaking layout, updating state in &lt; 1.5s.</t>
        </is>
      </c>
      <c r="I236" s="22" t="inlineStr">
        <is>
          <t>Successfully verified App Version Info functionality on mobile viewport with expected UI state.</t>
        </is>
      </c>
      <c r="J236" s="23" t="inlineStr">
        <is>
          <t>PASS</t>
        </is>
      </c>
      <c r="K236" s="24" t="inlineStr">
        <is>
          <t>CRITICAL</t>
        </is>
      </c>
      <c r="L236" s="20" t="n">
        <v>867</v>
      </c>
      <c r="M236" s="20" t="inlineStr">
        <is>
          <t>Android - Chrome</t>
        </is>
      </c>
      <c r="N236" s="20" t="inlineStr">
        <is>
          <t>Appium WebdriverIO</t>
        </is>
      </c>
    </row>
    <row r="237">
      <c r="A237" s="20" t="inlineStr">
        <is>
          <t>TC_SET_014</t>
        </is>
      </c>
      <c r="B237" s="21" t="inlineStr">
        <is>
          <t>Settings, Profile &amp; Preferences</t>
        </is>
      </c>
      <c r="C237" s="21" t="inlineStr">
        <is>
          <t>Accessibility</t>
        </is>
      </c>
      <c r="D237" s="21" t="inlineStr">
        <is>
          <t>Terms &amp; Privacy</t>
        </is>
      </c>
      <c r="E237" s="21" t="inlineStr">
        <is>
          <t>Verify Terms &amp; Privacy functionality on iOS - Safari - Case 14</t>
        </is>
      </c>
      <c r="F237" s="22" t="inlineStr">
        <is>
          <t>AgroVision web app running on iOS - Safari, User state initialized, Network connected.</t>
        </is>
      </c>
      <c r="G237" s="22" t="inlineStr">
        <is>
          <t>1. Launch browser on iOS - Safari
2. Navigate to /set
3. Trigger action for Terms &amp; Privacy
4. Verify DOM element response &amp; mobile touch feedback.</t>
        </is>
      </c>
      <c r="H237" s="22" t="inlineStr">
        <is>
          <t>Terms &amp; Privacy renders correctly without breaking layout, updating state in &lt; 1.5s.</t>
        </is>
      </c>
      <c r="I237" s="22" t="inlineStr">
        <is>
          <t>Successfully verified Terms &amp; Privacy functionality on mobile viewport with expected UI state.</t>
        </is>
      </c>
      <c r="J237" s="23" t="inlineStr">
        <is>
          <t>PASS</t>
        </is>
      </c>
      <c r="K237" s="25" t="inlineStr">
        <is>
          <t>HIGH</t>
        </is>
      </c>
      <c r="L237" s="20" t="n">
        <v>412</v>
      </c>
      <c r="M237" s="20" t="inlineStr">
        <is>
          <t>iOS - Safari</t>
        </is>
      </c>
      <c r="N237" s="20" t="inlineStr">
        <is>
          <t>Appium WebdriverIO</t>
        </is>
      </c>
    </row>
    <row r="238">
      <c r="A238" s="20" t="inlineStr">
        <is>
          <t>TC_SET_015</t>
        </is>
      </c>
      <c r="B238" s="21" t="inlineStr">
        <is>
          <t>Settings, Profile &amp; Preferences</t>
        </is>
      </c>
      <c r="C238" s="21" t="inlineStr">
        <is>
          <t>Functional</t>
        </is>
      </c>
      <c r="D238" s="21" t="inlineStr">
        <is>
          <t>Farmer Profile Update</t>
        </is>
      </c>
      <c r="E238" s="21" t="inlineStr">
        <is>
          <t>Verify Farmer Profile Update functionality on Android Native Webview - Case 15</t>
        </is>
      </c>
      <c r="F238" s="22" t="inlineStr">
        <is>
          <t>AgroVision web app running on Android Native Webview, User state initialized, Network connected.</t>
        </is>
      </c>
      <c r="G238" s="22" t="inlineStr">
        <is>
          <t>1. Launch browser on Android Native Webview
2. Navigate to /set
3. Trigger action for Farmer Profile Update
4. Verify DOM element response &amp; mobile touch feedback.</t>
        </is>
      </c>
      <c r="H238" s="22" t="inlineStr">
        <is>
          <t>Farmer Profile Update renders correctly without breaking layout, updating state in &lt; 1.5s.</t>
        </is>
      </c>
      <c r="I238" s="22" t="inlineStr">
        <is>
          <t>Successfully verified Farmer Profile Update functionality on mobile viewport with expected UI state.</t>
        </is>
      </c>
      <c r="J238" s="23" t="inlineStr">
        <is>
          <t>PASS</t>
        </is>
      </c>
      <c r="K238" s="27" t="inlineStr">
        <is>
          <t>MEDIUM</t>
        </is>
      </c>
      <c r="L238" s="20" t="n">
        <v>934</v>
      </c>
      <c r="M238" s="20" t="inlineStr">
        <is>
          <t>Android Native Webview</t>
        </is>
      </c>
      <c r="N238" s="20" t="inlineStr">
        <is>
          <t>Appium WebdriverIO</t>
        </is>
      </c>
    </row>
    <row r="239">
      <c r="A239" s="20" t="inlineStr">
        <is>
          <t>TC_SET_016</t>
        </is>
      </c>
      <c r="B239" s="21" t="inlineStr">
        <is>
          <t>Settings, Profile &amp; Preferences</t>
        </is>
      </c>
      <c r="C239" s="21" t="inlineStr">
        <is>
          <t>UI Layout</t>
        </is>
      </c>
      <c r="D239" s="21" t="inlineStr">
        <is>
          <t>Dark/Light Theme Toggle</t>
        </is>
      </c>
      <c r="E239" s="21" t="inlineStr">
        <is>
          <t>Verify Dark/Light Theme Toggle functionality on iOS Hybrid App - Case 16</t>
        </is>
      </c>
      <c r="F239" s="22" t="inlineStr">
        <is>
          <t>AgroVision web app running on iOS Hybrid App, User state initialized, Network connected.</t>
        </is>
      </c>
      <c r="G239" s="22" t="inlineStr">
        <is>
          <t>1. Launch browser on iOS Hybrid App
2. Navigate to /set
3. Trigger action for Dark/Light Theme Toggle
4. Verify DOM element response &amp; mobile touch feedback.</t>
        </is>
      </c>
      <c r="H239" s="22" t="inlineStr">
        <is>
          <t>Dark/Light Theme Toggle renders correctly without breaking layout, updating state in &lt; 1.5s.</t>
        </is>
      </c>
      <c r="I239" s="22" t="inlineStr">
        <is>
          <t>Successfully verified Dark/Light Theme Toggle functionality on mobile viewport with expected UI state.</t>
        </is>
      </c>
      <c r="J239" s="23" t="inlineStr">
        <is>
          <t>PASS</t>
        </is>
      </c>
      <c r="K239" s="28" t="inlineStr">
        <is>
          <t>LOW</t>
        </is>
      </c>
      <c r="L239" s="20" t="n">
        <v>1250</v>
      </c>
      <c r="M239" s="20" t="inlineStr">
        <is>
          <t>iOS Hybrid App</t>
        </is>
      </c>
      <c r="N239" s="20" t="inlineStr">
        <is>
          <t>Appium WebdriverIO</t>
        </is>
      </c>
    </row>
    <row r="240">
      <c r="A240" s="20" t="inlineStr">
        <is>
          <t>TC_SET_017</t>
        </is>
      </c>
      <c r="B240" s="21" t="inlineStr">
        <is>
          <t>Settings, Profile &amp; Preferences</t>
        </is>
      </c>
      <c r="C240" s="21" t="inlineStr">
        <is>
          <t>Touch Gesture</t>
        </is>
      </c>
      <c r="D240" s="21" t="inlineStr">
        <is>
          <t>Multi-language Switcher</t>
        </is>
      </c>
      <c r="E240" s="21" t="inlineStr">
        <is>
          <t>Verify Multi-language Switcher functionality on Android - Chrome - Case 17</t>
        </is>
      </c>
      <c r="F240" s="22" t="inlineStr">
        <is>
          <t>AgroVision web app running on Android - Chrome, User state initialized, Network connected.</t>
        </is>
      </c>
      <c r="G240" s="22" t="inlineStr">
        <is>
          <t>1. Launch browser on Android - Chrome
2. Navigate to /set
3. Trigger action for Multi-language Switcher
4. Verify DOM element response &amp; mobile touch feedback.</t>
        </is>
      </c>
      <c r="H240" s="22" t="inlineStr">
        <is>
          <t>Multi-language Switcher renders correctly without breaking layout, updating state in &lt; 1.5s.</t>
        </is>
      </c>
      <c r="I240" s="22" t="inlineStr">
        <is>
          <t>Successfully verified Multi-language Switcher functionality on mobile viewport with expected UI state.</t>
        </is>
      </c>
      <c r="J240" s="23" t="inlineStr">
        <is>
          <t>PASS</t>
        </is>
      </c>
      <c r="K240" s="24" t="inlineStr">
        <is>
          <t>CRITICAL</t>
        </is>
      </c>
      <c r="L240" s="20" t="n">
        <v>454</v>
      </c>
      <c r="M240" s="20" t="inlineStr">
        <is>
          <t>Android - Chrome</t>
        </is>
      </c>
      <c r="N240" s="20" t="inlineStr">
        <is>
          <t>Appium WebdriverIO</t>
        </is>
      </c>
    </row>
    <row r="241">
      <c r="A241" s="20" t="inlineStr">
        <is>
          <t>TC_SET_018</t>
        </is>
      </c>
      <c r="B241" s="21" t="inlineStr">
        <is>
          <t>Settings, Profile &amp; Preferences</t>
        </is>
      </c>
      <c r="C241" s="21" t="inlineStr">
        <is>
          <t>Offline DB</t>
        </is>
      </c>
      <c r="D241" s="21" t="inlineStr">
        <is>
          <t>Notification Preferences</t>
        </is>
      </c>
      <c r="E241" s="21" t="inlineStr">
        <is>
          <t>Verify Notification Preferences functionality on iOS - Safari - Case 18</t>
        </is>
      </c>
      <c r="F241" s="22" t="inlineStr">
        <is>
          <t>AgroVision web app running on iOS - Safari, User state initialized, Network connected.</t>
        </is>
      </c>
      <c r="G241" s="22" t="inlineStr">
        <is>
          <t>1. Launch browser on iOS - Safari
2. Navigate to /set
3. Trigger action for Notification Preferences
4. Verify DOM element response &amp; mobile touch feedback.</t>
        </is>
      </c>
      <c r="H241" s="22" t="inlineStr">
        <is>
          <t>Notification Preferences renders correctly without breaking layout, updating state in &lt; 1.5s.</t>
        </is>
      </c>
      <c r="I241" s="22" t="inlineStr">
        <is>
          <t>Successfully verified Notification Preferences functionality on mobile viewport with expected UI state.</t>
        </is>
      </c>
      <c r="J241" s="23" t="inlineStr">
        <is>
          <t>PASS</t>
        </is>
      </c>
      <c r="K241" s="25" t="inlineStr">
        <is>
          <t>HIGH</t>
        </is>
      </c>
      <c r="L241" s="20" t="n">
        <v>1031</v>
      </c>
      <c r="M241" s="20" t="inlineStr">
        <is>
          <t>iOS - Safari</t>
        </is>
      </c>
      <c r="N241" s="20" t="inlineStr">
        <is>
          <t>Appium WebdriverIO</t>
        </is>
      </c>
    </row>
    <row r="242">
      <c r="A242" s="20" t="inlineStr">
        <is>
          <t>TC_SET_019</t>
        </is>
      </c>
      <c r="B242" s="21" t="inlineStr">
        <is>
          <t>Settings, Profile &amp; Preferences</t>
        </is>
      </c>
      <c r="C242" s="21" t="inlineStr">
        <is>
          <t>Performance</t>
        </is>
      </c>
      <c r="D242" s="21" t="inlineStr">
        <is>
          <t>Clear Offline Cache</t>
        </is>
      </c>
      <c r="E242" s="21" t="inlineStr">
        <is>
          <t>Verify Clear Offline Cache functionality on Android Native Webview - Case 19</t>
        </is>
      </c>
      <c r="F242" s="22" t="inlineStr">
        <is>
          <t>AgroVision web app running on Android Native Webview, User state initialized, Network connected.</t>
        </is>
      </c>
      <c r="G242" s="22" t="inlineStr">
        <is>
          <t>1. Launch browser on Android Native Webview
2. Navigate to /set
3. Trigger action for Clear Offline Cache
4. Verify DOM element response &amp; mobile touch feedback.</t>
        </is>
      </c>
      <c r="H242" s="22" t="inlineStr">
        <is>
          <t>Clear Offline Cache renders correctly without breaking layout, updating state in &lt; 1.5s.</t>
        </is>
      </c>
      <c r="I242" s="22" t="inlineStr">
        <is>
          <t>Touch gesture response delayed (&gt;1500ms) on Clear Offline Cache during low memory state.</t>
        </is>
      </c>
      <c r="J242" s="26" t="inlineStr">
        <is>
          <t>FAIL</t>
        </is>
      </c>
      <c r="K242" s="27" t="inlineStr">
        <is>
          <t>MEDIUM</t>
        </is>
      </c>
      <c r="L242" s="20" t="n">
        <v>565</v>
      </c>
      <c r="M242" s="20" t="inlineStr">
        <is>
          <t>Android Native Webview</t>
        </is>
      </c>
      <c r="N242" s="20" t="inlineStr">
        <is>
          <t>Appium WebdriverIO</t>
        </is>
      </c>
    </row>
    <row r="243">
      <c r="A243" s="20" t="inlineStr">
        <is>
          <t>TC_SET_020</t>
        </is>
      </c>
      <c r="B243" s="21" t="inlineStr">
        <is>
          <t>Settings, Profile &amp; Preferences</t>
        </is>
      </c>
      <c r="C243" s="21" t="inlineStr">
        <is>
          <t>Security</t>
        </is>
      </c>
      <c r="D243" s="21" t="inlineStr">
        <is>
          <t>App Version Info</t>
        </is>
      </c>
      <c r="E243" s="21" t="inlineStr">
        <is>
          <t>Verify App Version Info functionality on iOS Hybrid App - Case 20</t>
        </is>
      </c>
      <c r="F243" s="22" t="inlineStr">
        <is>
          <t>AgroVision web app running on iOS Hybrid App, User state initialized, Network connected.</t>
        </is>
      </c>
      <c r="G243" s="22" t="inlineStr">
        <is>
          <t>1. Launch browser on iOS Hybrid App
2. Navigate to /set
3. Trigger action for App Version Info
4. Verify DOM element response &amp; mobile touch feedback.</t>
        </is>
      </c>
      <c r="H243" s="22" t="inlineStr">
        <is>
          <t>App Version Info renders correctly without breaking layout, updating state in &lt; 1.5s.</t>
        </is>
      </c>
      <c r="I243" s="22" t="inlineStr">
        <is>
          <t>Successfully verified App Version Info functionality on mobile viewport with expected UI state.</t>
        </is>
      </c>
      <c r="J243" s="23" t="inlineStr">
        <is>
          <t>PASS</t>
        </is>
      </c>
      <c r="K243" s="28" t="inlineStr">
        <is>
          <t>LOW</t>
        </is>
      </c>
      <c r="L243" s="20" t="n">
        <v>1308</v>
      </c>
      <c r="M243" s="20" t="inlineStr">
        <is>
          <t>iOS Hybrid App</t>
        </is>
      </c>
      <c r="N243" s="20" t="inlineStr">
        <is>
          <t>Appium WebdriverIO</t>
        </is>
      </c>
    </row>
    <row r="244">
      <c r="A244" s="20" t="inlineStr">
        <is>
          <t>TC_SET_021</t>
        </is>
      </c>
      <c r="B244" s="21" t="inlineStr">
        <is>
          <t>Settings, Profile &amp; Preferences</t>
        </is>
      </c>
      <c r="C244" s="21" t="inlineStr">
        <is>
          <t>Accessibility</t>
        </is>
      </c>
      <c r="D244" s="21" t="inlineStr">
        <is>
          <t>Terms &amp; Privacy</t>
        </is>
      </c>
      <c r="E244" s="21" t="inlineStr">
        <is>
          <t>Verify Terms &amp; Privacy functionality on Android - Chrome - Case 21</t>
        </is>
      </c>
      <c r="F244" s="22" t="inlineStr">
        <is>
          <t>AgroVision web app running on Android - Chrome, User state initialized, Network connected.</t>
        </is>
      </c>
      <c r="G244" s="22" t="inlineStr">
        <is>
          <t>1. Launch browser on Android - Chrome
2. Navigate to /set
3. Trigger action for Terms &amp; Privacy
4. Verify DOM element response &amp; mobile touch feedback.</t>
        </is>
      </c>
      <c r="H244" s="22" t="inlineStr">
        <is>
          <t>Terms &amp; Privacy renders correctly without breaking layout, updating state in &lt; 1.5s.</t>
        </is>
      </c>
      <c r="I244" s="22" t="inlineStr">
        <is>
          <t>Successfully verified Terms &amp; Privacy functionality on mobile viewport with expected UI state.</t>
        </is>
      </c>
      <c r="J244" s="23" t="inlineStr">
        <is>
          <t>PASS</t>
        </is>
      </c>
      <c r="K244" s="24" t="inlineStr">
        <is>
          <t>CRITICAL</t>
        </is>
      </c>
      <c r="L244" s="20" t="n">
        <v>1619</v>
      </c>
      <c r="M244" s="20" t="inlineStr">
        <is>
          <t>Android - Chrome</t>
        </is>
      </c>
      <c r="N244" s="20" t="inlineStr">
        <is>
          <t>Appium WebdriverIO</t>
        </is>
      </c>
    </row>
    <row r="245">
      <c r="A245" s="20" t="inlineStr">
        <is>
          <t>TC_SET_022</t>
        </is>
      </c>
      <c r="B245" s="21" t="inlineStr">
        <is>
          <t>Settings, Profile &amp; Preferences</t>
        </is>
      </c>
      <c r="C245" s="21" t="inlineStr">
        <is>
          <t>Functional</t>
        </is>
      </c>
      <c r="D245" s="21" t="inlineStr">
        <is>
          <t>Farmer Profile Update</t>
        </is>
      </c>
      <c r="E245" s="21" t="inlineStr">
        <is>
          <t>Verify Farmer Profile Update functionality on iOS - Safari - Case 22</t>
        </is>
      </c>
      <c r="F245" s="22" t="inlineStr">
        <is>
          <t>AgroVision web app running on iOS - Safari, User state initialized, Network connected.</t>
        </is>
      </c>
      <c r="G245" s="22" t="inlineStr">
        <is>
          <t>1. Launch browser on iOS - Safari
2. Navigate to /set
3. Trigger action for Farmer Profile Update
4. Verify DOM element response &amp; mobile touch feedback.</t>
        </is>
      </c>
      <c r="H245" s="22" t="inlineStr">
        <is>
          <t>Farmer Profile Update renders correctly without breaking layout, updating state in &lt; 1.5s.</t>
        </is>
      </c>
      <c r="I245" s="22" t="inlineStr">
        <is>
          <t>Successfully verified Farmer Profile Update functionality on mobile viewport with expected UI state.</t>
        </is>
      </c>
      <c r="J245" s="23" t="inlineStr">
        <is>
          <t>PASS</t>
        </is>
      </c>
      <c r="K245" s="25" t="inlineStr">
        <is>
          <t>HIGH</t>
        </is>
      </c>
      <c r="L245" s="20" t="n">
        <v>1584</v>
      </c>
      <c r="M245" s="20" t="inlineStr">
        <is>
          <t>iOS - Safari</t>
        </is>
      </c>
      <c r="N245" s="20" t="inlineStr">
        <is>
          <t>Appium WebdriverIO</t>
        </is>
      </c>
    </row>
    <row r="246">
      <c r="A246" s="20" t="inlineStr">
        <is>
          <t>TC_SET_023</t>
        </is>
      </c>
      <c r="B246" s="21" t="inlineStr">
        <is>
          <t>Settings, Profile &amp; Preferences</t>
        </is>
      </c>
      <c r="C246" s="21" t="inlineStr">
        <is>
          <t>UI Layout</t>
        </is>
      </c>
      <c r="D246" s="21" t="inlineStr">
        <is>
          <t>Dark/Light Theme Toggle</t>
        </is>
      </c>
      <c r="E246" s="21" t="inlineStr">
        <is>
          <t>Verify Dark/Light Theme Toggle functionality on Android Native Webview - Case 23</t>
        </is>
      </c>
      <c r="F246" s="22" t="inlineStr">
        <is>
          <t>AgroVision web app running on Android Native Webview, User state initialized, Network connected.</t>
        </is>
      </c>
      <c r="G246" s="22" t="inlineStr">
        <is>
          <t>1. Launch browser on Android Native Webview
2. Navigate to /set
3. Trigger action for Dark/Light Theme Toggle
4. Verify DOM element response &amp; mobile touch feedback.</t>
        </is>
      </c>
      <c r="H246" s="22" t="inlineStr">
        <is>
          <t>Dark/Light Theme Toggle renders correctly without breaking layout, updating state in &lt; 1.5s.</t>
        </is>
      </c>
      <c r="I246" s="22" t="inlineStr">
        <is>
          <t>Successfully verified Dark/Light Theme Toggle functionality on mobile viewport with expected UI state.</t>
        </is>
      </c>
      <c r="J246" s="23" t="inlineStr">
        <is>
          <t>PASS</t>
        </is>
      </c>
      <c r="K246" s="27" t="inlineStr">
        <is>
          <t>MEDIUM</t>
        </is>
      </c>
      <c r="L246" s="20" t="n">
        <v>311</v>
      </c>
      <c r="M246" s="20" t="inlineStr">
        <is>
          <t>Android Native Webview</t>
        </is>
      </c>
      <c r="N246" s="20" t="inlineStr">
        <is>
          <t>Appium WebdriverIO</t>
        </is>
      </c>
    </row>
    <row r="247">
      <c r="A247" s="20" t="inlineStr">
        <is>
          <t>TC_SET_024</t>
        </is>
      </c>
      <c r="B247" s="21" t="inlineStr">
        <is>
          <t>Settings, Profile &amp; Preferences</t>
        </is>
      </c>
      <c r="C247" s="21" t="inlineStr">
        <is>
          <t>Touch Gesture</t>
        </is>
      </c>
      <c r="D247" s="21" t="inlineStr">
        <is>
          <t>Multi-language Switcher</t>
        </is>
      </c>
      <c r="E247" s="21" t="inlineStr">
        <is>
          <t>Verify Multi-language Switcher functionality on iOS Hybrid App - Case 24</t>
        </is>
      </c>
      <c r="F247" s="22" t="inlineStr">
        <is>
          <t>AgroVision web app running on iOS Hybrid App, User state initialized, Network connected.</t>
        </is>
      </c>
      <c r="G247" s="22" t="inlineStr">
        <is>
          <t>1. Launch browser on iOS Hybrid App
2. Navigate to /set
3. Trigger action for Multi-language Switcher
4. Verify DOM element response &amp; mobile touch feedback.</t>
        </is>
      </c>
      <c r="H247" s="22" t="inlineStr">
        <is>
          <t>Multi-language Switcher renders correctly without breaking layout, updating state in &lt; 1.5s.</t>
        </is>
      </c>
      <c r="I247" s="22" t="inlineStr">
        <is>
          <t>Successfully verified Multi-language Switcher functionality on mobile viewport with expected UI state.</t>
        </is>
      </c>
      <c r="J247" s="23" t="inlineStr">
        <is>
          <t>PASS</t>
        </is>
      </c>
      <c r="K247" s="28" t="inlineStr">
        <is>
          <t>LOW</t>
        </is>
      </c>
      <c r="L247" s="20" t="n">
        <v>972</v>
      </c>
      <c r="M247" s="20" t="inlineStr">
        <is>
          <t>iOS Hybrid App</t>
        </is>
      </c>
      <c r="N247" s="20" t="inlineStr">
        <is>
          <t>Appium WebdriverIO</t>
        </is>
      </c>
    </row>
    <row r="248">
      <c r="A248" s="20" t="inlineStr">
        <is>
          <t>TC_SET_025</t>
        </is>
      </c>
      <c r="B248" s="21" t="inlineStr">
        <is>
          <t>Settings, Profile &amp; Preferences</t>
        </is>
      </c>
      <c r="C248" s="21" t="inlineStr">
        <is>
          <t>Offline DB</t>
        </is>
      </c>
      <c r="D248" s="21" t="inlineStr">
        <is>
          <t>Notification Preferences</t>
        </is>
      </c>
      <c r="E248" s="21" t="inlineStr">
        <is>
          <t>Verify Notification Preferences functionality on Android - Chrome - Case 25</t>
        </is>
      </c>
      <c r="F248" s="22" t="inlineStr">
        <is>
          <t>AgroVision web app running on Android - Chrome, User state initialized, Network connected.</t>
        </is>
      </c>
      <c r="G248" s="22" t="inlineStr">
        <is>
          <t>1. Launch browser on Android - Chrome
2. Navigate to /set
3. Trigger action for Notification Preferences
4. Verify DOM element response &amp; mobile touch feedback.</t>
        </is>
      </c>
      <c r="H248" s="22" t="inlineStr">
        <is>
          <t>Notification Preferences renders correctly without breaking layout, updating state in &lt; 1.5s.</t>
        </is>
      </c>
      <c r="I248" s="22" t="inlineStr">
        <is>
          <t>Successfully verified Notification Preferences functionality on mobile viewport with expected UI state.</t>
        </is>
      </c>
      <c r="J248" s="23" t="inlineStr">
        <is>
          <t>PASS</t>
        </is>
      </c>
      <c r="K248" s="24" t="inlineStr">
        <is>
          <t>CRITICAL</t>
        </is>
      </c>
      <c r="L248" s="20" t="n">
        <v>1632</v>
      </c>
      <c r="M248" s="20" t="inlineStr">
        <is>
          <t>Android - Chrome</t>
        </is>
      </c>
      <c r="N248" s="20" t="inlineStr">
        <is>
          <t>Appium WebdriverIO</t>
        </is>
      </c>
    </row>
    <row r="249">
      <c r="A249" s="20" t="inlineStr">
        <is>
          <t>TC_SET_026</t>
        </is>
      </c>
      <c r="B249" s="21" t="inlineStr">
        <is>
          <t>Settings, Profile &amp; Preferences</t>
        </is>
      </c>
      <c r="C249" s="21" t="inlineStr">
        <is>
          <t>Performance</t>
        </is>
      </c>
      <c r="D249" s="21" t="inlineStr">
        <is>
          <t>Clear Offline Cache</t>
        </is>
      </c>
      <c r="E249" s="21" t="inlineStr">
        <is>
          <t>Verify Clear Offline Cache functionality on iOS - Safari - Case 26</t>
        </is>
      </c>
      <c r="F249" s="22" t="inlineStr">
        <is>
          <t>AgroVision web app running on iOS - Safari, User state initialized, Network connected.</t>
        </is>
      </c>
      <c r="G249" s="22" t="inlineStr">
        <is>
          <t>1. Launch browser on iOS - Safari
2. Navigate to /set
3. Trigger action for Clear Offline Cache
4. Verify DOM element response &amp; mobile touch feedback.</t>
        </is>
      </c>
      <c r="H249" s="22" t="inlineStr">
        <is>
          <t>Clear Offline Cache renders correctly without breaking layout, updating state in &lt; 1.5s.</t>
        </is>
      </c>
      <c r="I249" s="22" t="inlineStr">
        <is>
          <t>Successfully verified Clear Offline Cache functionality on mobile viewport with expected UI state.</t>
        </is>
      </c>
      <c r="J249" s="23" t="inlineStr">
        <is>
          <t>PASS</t>
        </is>
      </c>
      <c r="K249" s="25" t="inlineStr">
        <is>
          <t>HIGH</t>
        </is>
      </c>
      <c r="L249" s="20" t="n">
        <v>988</v>
      </c>
      <c r="M249" s="20" t="inlineStr">
        <is>
          <t>iOS - Safari</t>
        </is>
      </c>
      <c r="N249" s="20" t="inlineStr">
        <is>
          <t>Appium WebdriverIO</t>
        </is>
      </c>
    </row>
    <row r="250">
      <c r="A250" s="20" t="inlineStr">
        <is>
          <t>TC_SET_027</t>
        </is>
      </c>
      <c r="B250" s="21" t="inlineStr">
        <is>
          <t>Settings, Profile &amp; Preferences</t>
        </is>
      </c>
      <c r="C250" s="21" t="inlineStr">
        <is>
          <t>Security</t>
        </is>
      </c>
      <c r="D250" s="21" t="inlineStr">
        <is>
          <t>App Version Info</t>
        </is>
      </c>
      <c r="E250" s="21" t="inlineStr">
        <is>
          <t>Verify App Version Info functionality on Android Native Webview - Case 27</t>
        </is>
      </c>
      <c r="F250" s="22" t="inlineStr">
        <is>
          <t>AgroVision web app running on Android Native Webview, User state initialized, Network connected.</t>
        </is>
      </c>
      <c r="G250" s="22" t="inlineStr">
        <is>
          <t>1. Launch browser on Android Native Webview
2. Navigate to /set
3. Trigger action for App Version Info
4. Verify DOM element response &amp; mobile touch feedback.</t>
        </is>
      </c>
      <c r="H250" s="22" t="inlineStr">
        <is>
          <t>App Version Info renders correctly without breaking layout, updating state in &lt; 1.5s.</t>
        </is>
      </c>
      <c r="I250" s="22" t="inlineStr">
        <is>
          <t>Successfully verified App Version Info functionality on mobile viewport with expected UI state.</t>
        </is>
      </c>
      <c r="J250" s="23" t="inlineStr">
        <is>
          <t>PASS</t>
        </is>
      </c>
      <c r="K250" s="27" t="inlineStr">
        <is>
          <t>MEDIUM</t>
        </is>
      </c>
      <c r="L250" s="20" t="n">
        <v>885</v>
      </c>
      <c r="M250" s="20" t="inlineStr">
        <is>
          <t>Android Native Webview</t>
        </is>
      </c>
      <c r="N250" s="20" t="inlineStr">
        <is>
          <t>Appium WebdriverIO</t>
        </is>
      </c>
    </row>
    <row r="251">
      <c r="A251" s="20" t="inlineStr">
        <is>
          <t>TC_SET_028</t>
        </is>
      </c>
      <c r="B251" s="21" t="inlineStr">
        <is>
          <t>Settings, Profile &amp; Preferences</t>
        </is>
      </c>
      <c r="C251" s="21" t="inlineStr">
        <is>
          <t>Accessibility</t>
        </is>
      </c>
      <c r="D251" s="21" t="inlineStr">
        <is>
          <t>Terms &amp; Privacy</t>
        </is>
      </c>
      <c r="E251" s="21" t="inlineStr">
        <is>
          <t>Verify Terms &amp; Privacy functionality on iOS Hybrid App - Case 28</t>
        </is>
      </c>
      <c r="F251" s="22" t="inlineStr">
        <is>
          <t>AgroVision web app running on iOS Hybrid App, User state initialized, Network connected.</t>
        </is>
      </c>
      <c r="G251" s="22" t="inlineStr">
        <is>
          <t>1. Launch browser on iOS Hybrid App
2. Navigate to /set
3. Trigger action for Terms &amp; Privacy
4. Verify DOM element response &amp; mobile touch feedback.</t>
        </is>
      </c>
      <c r="H251" s="22" t="inlineStr">
        <is>
          <t>Terms &amp; Privacy renders correctly without breaking layout, updating state in &lt; 1.5s.</t>
        </is>
      </c>
      <c r="I251" s="22" t="inlineStr">
        <is>
          <t>Successfully verified Terms &amp; Privacy functionality on mobile viewport with expected UI state.</t>
        </is>
      </c>
      <c r="J251" s="23" t="inlineStr">
        <is>
          <t>PASS</t>
        </is>
      </c>
      <c r="K251" s="28" t="inlineStr">
        <is>
          <t>LOW</t>
        </is>
      </c>
      <c r="L251" s="20" t="n">
        <v>604</v>
      </c>
      <c r="M251" s="20" t="inlineStr">
        <is>
          <t>iOS Hybrid App</t>
        </is>
      </c>
      <c r="N251" s="20" t="inlineStr">
        <is>
          <t>Appium WebdriverIO</t>
        </is>
      </c>
    </row>
    <row r="252">
      <c r="A252" s="20" t="inlineStr">
        <is>
          <t>TC_SET_029</t>
        </is>
      </c>
      <c r="B252" s="21" t="inlineStr">
        <is>
          <t>Settings, Profile &amp; Preferences</t>
        </is>
      </c>
      <c r="C252" s="21" t="inlineStr">
        <is>
          <t>Functional</t>
        </is>
      </c>
      <c r="D252" s="21" t="inlineStr">
        <is>
          <t>Farmer Profile Update</t>
        </is>
      </c>
      <c r="E252" s="21" t="inlineStr">
        <is>
          <t>Verify Farmer Profile Update functionality on Android - Chrome - Case 29</t>
        </is>
      </c>
      <c r="F252" s="22" t="inlineStr">
        <is>
          <t>AgroVision web app running on Android - Chrome, User state initialized, Network connected.</t>
        </is>
      </c>
      <c r="G252" s="22" t="inlineStr">
        <is>
          <t>1. Launch browser on Android - Chrome
2. Navigate to /set
3. Trigger action for Farmer Profile Update
4. Verify DOM element response &amp; mobile touch feedback.</t>
        </is>
      </c>
      <c r="H252" s="22" t="inlineStr">
        <is>
          <t>Farmer Profile Update renders correctly without breaking layout, updating state in &lt; 1.5s.</t>
        </is>
      </c>
      <c r="I252" s="22" t="inlineStr">
        <is>
          <t>Successfully verified Farmer Profile Update functionality on mobile viewport with expected UI state.</t>
        </is>
      </c>
      <c r="J252" s="23" t="inlineStr">
        <is>
          <t>PASS</t>
        </is>
      </c>
      <c r="K252" s="24" t="inlineStr">
        <is>
          <t>CRITICAL</t>
        </is>
      </c>
      <c r="L252" s="20" t="n">
        <v>1216</v>
      </c>
      <c r="M252" s="20" t="inlineStr">
        <is>
          <t>Android - Chrome</t>
        </is>
      </c>
      <c r="N252" s="20" t="inlineStr">
        <is>
          <t>Appium WebdriverIO</t>
        </is>
      </c>
    </row>
    <row r="253">
      <c r="A253" s="20" t="inlineStr">
        <is>
          <t>TC_SET_030</t>
        </is>
      </c>
      <c r="B253" s="21" t="inlineStr">
        <is>
          <t>Settings, Profile &amp; Preferences</t>
        </is>
      </c>
      <c r="C253" s="21" t="inlineStr">
        <is>
          <t>UI Layout</t>
        </is>
      </c>
      <c r="D253" s="21" t="inlineStr">
        <is>
          <t>Dark/Light Theme Toggle</t>
        </is>
      </c>
      <c r="E253" s="21" t="inlineStr">
        <is>
          <t>Verify Dark/Light Theme Toggle functionality on iOS - Safari - Case 30</t>
        </is>
      </c>
      <c r="F253" s="22" t="inlineStr">
        <is>
          <t>AgroVision web app running on iOS - Safari, User state initialized, Network connected.</t>
        </is>
      </c>
      <c r="G253" s="22" t="inlineStr">
        <is>
          <t>1. Launch browser on iOS - Safari
2. Navigate to /set
3. Trigger action for Dark/Light Theme Toggle
4. Verify DOM element response &amp; mobile touch feedback.</t>
        </is>
      </c>
      <c r="H253" s="22" t="inlineStr">
        <is>
          <t>Dark/Light Theme Toggle renders correctly without breaking layout, updating state in &lt; 1.5s.</t>
        </is>
      </c>
      <c r="I253" s="22" t="inlineStr">
        <is>
          <t>Successfully verified Dark/Light Theme Toggle functionality on mobile viewport with expected UI state.</t>
        </is>
      </c>
      <c r="J253" s="23" t="inlineStr">
        <is>
          <t>PASS</t>
        </is>
      </c>
      <c r="K253" s="25" t="inlineStr">
        <is>
          <t>HIGH</t>
        </is>
      </c>
      <c r="L253" s="20" t="n">
        <v>435</v>
      </c>
      <c r="M253" s="20" t="inlineStr">
        <is>
          <t>iOS - Safari</t>
        </is>
      </c>
      <c r="N253" s="20" t="inlineStr">
        <is>
          <t>Appium WebdriverIO</t>
        </is>
      </c>
    </row>
    <row r="254">
      <c r="A254" s="20" t="inlineStr">
        <is>
          <t>TC_SET_031</t>
        </is>
      </c>
      <c r="B254" s="21" t="inlineStr">
        <is>
          <t>Settings, Profile &amp; Preferences</t>
        </is>
      </c>
      <c r="C254" s="21" t="inlineStr">
        <is>
          <t>Touch Gesture</t>
        </is>
      </c>
      <c r="D254" s="21" t="inlineStr">
        <is>
          <t>Multi-language Switcher</t>
        </is>
      </c>
      <c r="E254" s="21" t="inlineStr">
        <is>
          <t>Verify Multi-language Switcher functionality on Android Native Webview - Case 31</t>
        </is>
      </c>
      <c r="F254" s="22" t="inlineStr">
        <is>
          <t>AgroVision web app running on Android Native Webview, User state initialized, Network connected.</t>
        </is>
      </c>
      <c r="G254" s="22" t="inlineStr">
        <is>
          <t>1. Launch browser on Android Native Webview
2. Navigate to /set
3. Trigger action for Multi-language Switcher
4. Verify DOM element response &amp; mobile touch feedback.</t>
        </is>
      </c>
      <c r="H254" s="22" t="inlineStr">
        <is>
          <t>Multi-language Switcher renders correctly without breaking layout, updating state in &lt; 1.5s.</t>
        </is>
      </c>
      <c r="I254" s="22" t="inlineStr">
        <is>
          <t>Successfully verified Multi-language Switcher functionality on mobile viewport with expected UI state.</t>
        </is>
      </c>
      <c r="J254" s="23" t="inlineStr">
        <is>
          <t>PASS</t>
        </is>
      </c>
      <c r="K254" s="27" t="inlineStr">
        <is>
          <t>MEDIUM</t>
        </is>
      </c>
      <c r="L254" s="20" t="n">
        <v>753</v>
      </c>
      <c r="M254" s="20" t="inlineStr">
        <is>
          <t>Android Native Webview</t>
        </is>
      </c>
      <c r="N254" s="20" t="inlineStr">
        <is>
          <t>Appium WebdriverIO</t>
        </is>
      </c>
    </row>
    <row r="255">
      <c r="A255" s="20" t="inlineStr">
        <is>
          <t>TC_SET_032</t>
        </is>
      </c>
      <c r="B255" s="21" t="inlineStr">
        <is>
          <t>Settings, Profile &amp; Preferences</t>
        </is>
      </c>
      <c r="C255" s="21" t="inlineStr">
        <is>
          <t>Offline DB</t>
        </is>
      </c>
      <c r="D255" s="21" t="inlineStr">
        <is>
          <t>Notification Preferences</t>
        </is>
      </c>
      <c r="E255" s="21" t="inlineStr">
        <is>
          <t>Verify Notification Preferences functionality on iOS Hybrid App - Case 32</t>
        </is>
      </c>
      <c r="F255" s="22" t="inlineStr">
        <is>
          <t>AgroVision web app running on iOS Hybrid App, User state initialized, Network connected.</t>
        </is>
      </c>
      <c r="G255" s="22" t="inlineStr">
        <is>
          <t>1. Launch browser on iOS Hybrid App
2. Navigate to /set
3. Trigger action for Notification Preferences
4. Verify DOM element response &amp; mobile touch feedback.</t>
        </is>
      </c>
      <c r="H255" s="22" t="inlineStr">
        <is>
          <t>Notification Preferences renders correctly without breaking layout, updating state in &lt; 1.5s.</t>
        </is>
      </c>
      <c r="I255" s="22" t="inlineStr">
        <is>
          <t>Successfully verified Notification Preferences functionality on mobile viewport with expected UI state.</t>
        </is>
      </c>
      <c r="J255" s="23" t="inlineStr">
        <is>
          <t>PASS</t>
        </is>
      </c>
      <c r="K255" s="28" t="inlineStr">
        <is>
          <t>LOW</t>
        </is>
      </c>
      <c r="L255" s="20" t="n">
        <v>1110</v>
      </c>
      <c r="M255" s="20" t="inlineStr">
        <is>
          <t>iOS Hybrid App</t>
        </is>
      </c>
      <c r="N255" s="20" t="inlineStr">
        <is>
          <t>Appium WebdriverIO</t>
        </is>
      </c>
    </row>
    <row r="256">
      <c r="A256" s="20" t="inlineStr">
        <is>
          <t>TC_SET_033</t>
        </is>
      </c>
      <c r="B256" s="21" t="inlineStr">
        <is>
          <t>Settings, Profile &amp; Preferences</t>
        </is>
      </c>
      <c r="C256" s="21" t="inlineStr">
        <is>
          <t>Performance</t>
        </is>
      </c>
      <c r="D256" s="21" t="inlineStr">
        <is>
          <t>Clear Offline Cache</t>
        </is>
      </c>
      <c r="E256" s="21" t="inlineStr">
        <is>
          <t>Verify Clear Offline Cache functionality on Android - Chrome - Case 33</t>
        </is>
      </c>
      <c r="F256" s="22" t="inlineStr">
        <is>
          <t>AgroVision web app running on Android - Chrome, User state initialized, Network connected.</t>
        </is>
      </c>
      <c r="G256" s="22" t="inlineStr">
        <is>
          <t>1. Launch browser on Android - Chrome
2. Navigate to /set
3. Trigger action for Clear Offline Cache
4. Verify DOM element response &amp; mobile touch feedback.</t>
        </is>
      </c>
      <c r="H256" s="22" t="inlineStr">
        <is>
          <t>Clear Offline Cache renders correctly without breaking layout, updating state in &lt; 1.5s.</t>
        </is>
      </c>
      <c r="I256" s="22" t="inlineStr">
        <is>
          <t>Successfully verified Clear Offline Cache functionality on mobile viewport with expected UI state.</t>
        </is>
      </c>
      <c r="J256" s="23" t="inlineStr">
        <is>
          <t>PASS</t>
        </is>
      </c>
      <c r="K256" s="24" t="inlineStr">
        <is>
          <t>CRITICAL</t>
        </is>
      </c>
      <c r="L256" s="20" t="n">
        <v>500</v>
      </c>
      <c r="M256" s="20" t="inlineStr">
        <is>
          <t>Android - Chrome</t>
        </is>
      </c>
      <c r="N256" s="20" t="inlineStr">
        <is>
          <t>Appium WebdriverIO</t>
        </is>
      </c>
    </row>
    <row r="257">
      <c r="A257" s="20" t="inlineStr">
        <is>
          <t>TC_SET_034</t>
        </is>
      </c>
      <c r="B257" s="21" t="inlineStr">
        <is>
          <t>Settings, Profile &amp; Preferences</t>
        </is>
      </c>
      <c r="C257" s="21" t="inlineStr">
        <is>
          <t>Security</t>
        </is>
      </c>
      <c r="D257" s="21" t="inlineStr">
        <is>
          <t>App Version Info</t>
        </is>
      </c>
      <c r="E257" s="21" t="inlineStr">
        <is>
          <t>Verify App Version Info functionality on iOS - Safari - Case 34</t>
        </is>
      </c>
      <c r="F257" s="22" t="inlineStr">
        <is>
          <t>AgroVision web app running on iOS - Safari, User state initialized, Network connected.</t>
        </is>
      </c>
      <c r="G257" s="22" t="inlineStr">
        <is>
          <t>1. Launch browser on iOS - Safari
2. Navigate to /set
3. Trigger action for App Version Info
4. Verify DOM element response &amp; mobile touch feedback.</t>
        </is>
      </c>
      <c r="H257" s="22" t="inlineStr">
        <is>
          <t>App Version Info renders correctly without breaking layout, updating state in &lt; 1.5s.</t>
        </is>
      </c>
      <c r="I257" s="22" t="inlineStr">
        <is>
          <t>Successfully verified App Version Info functionality on mobile viewport with expected UI state.</t>
        </is>
      </c>
      <c r="J257" s="23" t="inlineStr">
        <is>
          <t>PASS</t>
        </is>
      </c>
      <c r="K257" s="25" t="inlineStr">
        <is>
          <t>HIGH</t>
        </is>
      </c>
      <c r="L257" s="20" t="n">
        <v>1231</v>
      </c>
      <c r="M257" s="20" t="inlineStr">
        <is>
          <t>iOS - Safari</t>
        </is>
      </c>
      <c r="N257" s="20" t="inlineStr">
        <is>
          <t>Appium WebdriverIO</t>
        </is>
      </c>
    </row>
    <row r="258">
      <c r="A258" s="20" t="inlineStr">
        <is>
          <t>TC_SET_035</t>
        </is>
      </c>
      <c r="B258" s="21" t="inlineStr">
        <is>
          <t>Settings, Profile &amp; Preferences</t>
        </is>
      </c>
      <c r="C258" s="21" t="inlineStr">
        <is>
          <t>Accessibility</t>
        </is>
      </c>
      <c r="D258" s="21" t="inlineStr">
        <is>
          <t>Terms &amp; Privacy</t>
        </is>
      </c>
      <c r="E258" s="21" t="inlineStr">
        <is>
          <t>Verify Terms &amp; Privacy functionality on Android Native Webview - Case 35</t>
        </is>
      </c>
      <c r="F258" s="22" t="inlineStr">
        <is>
          <t>AgroVision web app running on Android Native Webview, User state initialized, Network connected.</t>
        </is>
      </c>
      <c r="G258" s="22" t="inlineStr">
        <is>
          <t>1. Launch browser on Android Native Webview
2. Navigate to /set
3. Trigger action for Terms &amp; Privacy
4. Verify DOM element response &amp; mobile touch feedback.</t>
        </is>
      </c>
      <c r="H258" s="22" t="inlineStr">
        <is>
          <t>Terms &amp; Privacy renders correctly without breaking layout, updating state in &lt; 1.5s.</t>
        </is>
      </c>
      <c r="I258" s="22" t="inlineStr">
        <is>
          <t>Successfully verified Terms &amp; Privacy functionality on mobile viewport with expected UI state.</t>
        </is>
      </c>
      <c r="J258" s="23" t="inlineStr">
        <is>
          <t>PASS</t>
        </is>
      </c>
      <c r="K258" s="27" t="inlineStr">
        <is>
          <t>MEDIUM</t>
        </is>
      </c>
      <c r="L258" s="20" t="n">
        <v>345</v>
      </c>
      <c r="M258" s="20" t="inlineStr">
        <is>
          <t>Android Native Webview</t>
        </is>
      </c>
      <c r="N258" s="20" t="inlineStr">
        <is>
          <t>Appium WebdriverIO</t>
        </is>
      </c>
    </row>
    <row r="259">
      <c r="A259" s="20" t="inlineStr">
        <is>
          <t>TC_GEST_001</t>
        </is>
      </c>
      <c r="B259" s="21" t="inlineStr">
        <is>
          <t>Mobile Gestures &amp; Responsiveness</t>
        </is>
      </c>
      <c r="C259" s="21" t="inlineStr">
        <is>
          <t>Functional</t>
        </is>
      </c>
      <c r="D259" s="21" t="inlineStr">
        <is>
          <t>Touch Tap</t>
        </is>
      </c>
      <c r="E259" s="21" t="inlineStr">
        <is>
          <t>Verify Touch Tap functionality on Android - Chrome - Case 1</t>
        </is>
      </c>
      <c r="F259" s="22" t="inlineStr">
        <is>
          <t>AgroVision web app running on Android - Chrome, User state initialized, Network connected.</t>
        </is>
      </c>
      <c r="G259" s="22" t="inlineStr">
        <is>
          <t>1. Launch browser on Android - Chrome
2. Navigate to /gest
3. Trigger action for Touch Tap
4. Verify DOM element response &amp; mobile touch feedback.</t>
        </is>
      </c>
      <c r="H259" s="22" t="inlineStr">
        <is>
          <t>Touch Tap renders correctly without breaking layout, updating state in &lt; 1.5s.</t>
        </is>
      </c>
      <c r="I259" s="22" t="inlineStr">
        <is>
          <t>Successfully verified Touch Tap functionality on mobile viewport with expected UI state.</t>
        </is>
      </c>
      <c r="J259" s="23" t="inlineStr">
        <is>
          <t>PASS</t>
        </is>
      </c>
      <c r="K259" s="25" t="inlineStr">
        <is>
          <t>HIGH</t>
        </is>
      </c>
      <c r="L259" s="20" t="n">
        <v>886</v>
      </c>
      <c r="M259" s="20" t="inlineStr">
        <is>
          <t>Android - Chrome</t>
        </is>
      </c>
      <c r="N259" s="20" t="inlineStr">
        <is>
          <t>Appium WebdriverIO</t>
        </is>
      </c>
    </row>
    <row r="260">
      <c r="A260" s="20" t="inlineStr">
        <is>
          <t>TC_GEST_002</t>
        </is>
      </c>
      <c r="B260" s="21" t="inlineStr">
        <is>
          <t>Mobile Gestures &amp; Responsiveness</t>
        </is>
      </c>
      <c r="C260" s="21" t="inlineStr">
        <is>
          <t>UI Layout</t>
        </is>
      </c>
      <c r="D260" s="21" t="inlineStr">
        <is>
          <t>Double Tap Zoom</t>
        </is>
      </c>
      <c r="E260" s="21" t="inlineStr">
        <is>
          <t>Verify Double Tap Zoom functionality on iOS - Safari - Case 2</t>
        </is>
      </c>
      <c r="F260" s="22" t="inlineStr">
        <is>
          <t>AgroVision web app running on iOS - Safari, User state initialized, Network connected.</t>
        </is>
      </c>
      <c r="G260" s="22" t="inlineStr">
        <is>
          <t>1. Launch browser on iOS - Safari
2. Navigate to /gest
3. Trigger action for Double Tap Zoom
4. Verify DOM element response &amp; mobile touch feedback.</t>
        </is>
      </c>
      <c r="H260" s="22" t="inlineStr">
        <is>
          <t>Double Tap Zoom renders correctly without breaking layout, updating state in &lt; 1.5s.</t>
        </is>
      </c>
      <c r="I260" s="22" t="inlineStr">
        <is>
          <t>Successfully verified Double Tap Zoom functionality on mobile viewport with expected UI state.</t>
        </is>
      </c>
      <c r="J260" s="23" t="inlineStr">
        <is>
          <t>PASS</t>
        </is>
      </c>
      <c r="K260" s="25" t="inlineStr">
        <is>
          <t>HIGH</t>
        </is>
      </c>
      <c r="L260" s="20" t="n">
        <v>1243</v>
      </c>
      <c r="M260" s="20" t="inlineStr">
        <is>
          <t>iOS - Safari</t>
        </is>
      </c>
      <c r="N260" s="20" t="inlineStr">
        <is>
          <t>Appium WebdriverIO</t>
        </is>
      </c>
    </row>
    <row r="261">
      <c r="A261" s="20" t="inlineStr">
        <is>
          <t>TC_GEST_003</t>
        </is>
      </c>
      <c r="B261" s="21" t="inlineStr">
        <is>
          <t>Mobile Gestures &amp; Responsiveness</t>
        </is>
      </c>
      <c r="C261" s="21" t="inlineStr">
        <is>
          <t>Touch Gesture</t>
        </is>
      </c>
      <c r="D261" s="21" t="inlineStr">
        <is>
          <t>Swipe Left/Right Cards</t>
        </is>
      </c>
      <c r="E261" s="21" t="inlineStr">
        <is>
          <t>Verify Swipe Left/Right Cards functionality on Android Native Webview - Case 3</t>
        </is>
      </c>
      <c r="F261" s="22" t="inlineStr">
        <is>
          <t>AgroVision web app running on Android Native Webview, User state initialized, Network connected.</t>
        </is>
      </c>
      <c r="G261" s="22" t="inlineStr">
        <is>
          <t>1. Launch browser on Android Native Webview
2. Navigate to /gest
3. Trigger action for Swipe Left/Right Cards
4. Verify DOM element response &amp; mobile touch feedback.</t>
        </is>
      </c>
      <c r="H261" s="22" t="inlineStr">
        <is>
          <t>Swipe Left/Right Cards renders correctly without breaking layout, updating state in &lt; 1.5s.</t>
        </is>
      </c>
      <c r="I261" s="22" t="inlineStr">
        <is>
          <t>Successfully verified Swipe Left/Right Cards functionality on mobile viewport with expected UI state.</t>
        </is>
      </c>
      <c r="J261" s="23" t="inlineStr">
        <is>
          <t>PASS</t>
        </is>
      </c>
      <c r="K261" s="25" t="inlineStr">
        <is>
          <t>HIGH</t>
        </is>
      </c>
      <c r="L261" s="20" t="n">
        <v>1408</v>
      </c>
      <c r="M261" s="20" t="inlineStr">
        <is>
          <t>Android Native Webview</t>
        </is>
      </c>
      <c r="N261" s="20" t="inlineStr">
        <is>
          <t>Appium WebdriverIO</t>
        </is>
      </c>
    </row>
    <row r="262">
      <c r="A262" s="20" t="inlineStr">
        <is>
          <t>TC_GEST_004</t>
        </is>
      </c>
      <c r="B262" s="21" t="inlineStr">
        <is>
          <t>Mobile Gestures &amp; Responsiveness</t>
        </is>
      </c>
      <c r="C262" s="21" t="inlineStr">
        <is>
          <t>Offline DB</t>
        </is>
      </c>
      <c r="D262" s="21" t="inlineStr">
        <is>
          <t>Long Press Actions</t>
        </is>
      </c>
      <c r="E262" s="21" t="inlineStr">
        <is>
          <t>Verify Long Press Actions functionality on iOS Hybrid App - Case 4</t>
        </is>
      </c>
      <c r="F262" s="22" t="inlineStr">
        <is>
          <t>AgroVision web app running on iOS Hybrid App, User state initialized, Network connected.</t>
        </is>
      </c>
      <c r="G262" s="22" t="inlineStr">
        <is>
          <t>1. Launch browser on iOS Hybrid App
2. Navigate to /gest
3. Trigger action for Long Press Actions
4. Verify DOM element response &amp; mobile touch feedback.</t>
        </is>
      </c>
      <c r="H262" s="22" t="inlineStr">
        <is>
          <t>Long Press Actions renders correctly without breaking layout, updating state in &lt; 1.5s.</t>
        </is>
      </c>
      <c r="I262" s="22" t="inlineStr">
        <is>
          <t>Successfully verified Long Press Actions functionality on mobile viewport with expected UI state.</t>
        </is>
      </c>
      <c r="J262" s="23" t="inlineStr">
        <is>
          <t>PASS</t>
        </is>
      </c>
      <c r="K262" s="25" t="inlineStr">
        <is>
          <t>HIGH</t>
        </is>
      </c>
      <c r="L262" s="20" t="n">
        <v>411</v>
      </c>
      <c r="M262" s="20" t="inlineStr">
        <is>
          <t>iOS Hybrid App</t>
        </is>
      </c>
      <c r="N262" s="20" t="inlineStr">
        <is>
          <t>Appium WebdriverIO</t>
        </is>
      </c>
    </row>
    <row r="263">
      <c r="A263" s="20" t="inlineStr">
        <is>
          <t>TC_GEST_005</t>
        </is>
      </c>
      <c r="B263" s="21" t="inlineStr">
        <is>
          <t>Mobile Gestures &amp; Responsiveness</t>
        </is>
      </c>
      <c r="C263" s="21" t="inlineStr">
        <is>
          <t>Performance</t>
        </is>
      </c>
      <c r="D263" s="21" t="inlineStr">
        <is>
          <t>Pinch Zoom Image</t>
        </is>
      </c>
      <c r="E263" s="21" t="inlineStr">
        <is>
          <t>Verify Pinch Zoom Image functionality on Android - Chrome - Case 5</t>
        </is>
      </c>
      <c r="F263" s="22" t="inlineStr">
        <is>
          <t>AgroVision web app running on Android - Chrome, User state initialized, Network connected.</t>
        </is>
      </c>
      <c r="G263" s="22" t="inlineStr">
        <is>
          <t>1. Launch browser on Android - Chrome
2. Navigate to /gest
3. Trigger action for Pinch Zoom Image
4. Verify DOM element response &amp; mobile touch feedback.</t>
        </is>
      </c>
      <c r="H263" s="22" t="inlineStr">
        <is>
          <t>Pinch Zoom Image renders correctly without breaking layout, updating state in &lt; 1.5s.</t>
        </is>
      </c>
      <c r="I263" s="22" t="inlineStr">
        <is>
          <t>Successfully verified Pinch Zoom Image functionality on mobile viewport with expected UI state.</t>
        </is>
      </c>
      <c r="J263" s="23" t="inlineStr">
        <is>
          <t>PASS</t>
        </is>
      </c>
      <c r="K263" s="25" t="inlineStr">
        <is>
          <t>HIGH</t>
        </is>
      </c>
      <c r="L263" s="20" t="n">
        <v>722</v>
      </c>
      <c r="M263" s="20" t="inlineStr">
        <is>
          <t>Android - Chrome</t>
        </is>
      </c>
      <c r="N263" s="20" t="inlineStr">
        <is>
          <t>Appium WebdriverIO</t>
        </is>
      </c>
    </row>
    <row r="264">
      <c r="A264" s="20" t="inlineStr">
        <is>
          <t>TC_GEST_006</t>
        </is>
      </c>
      <c r="B264" s="21" t="inlineStr">
        <is>
          <t>Mobile Gestures &amp; Responsiveness</t>
        </is>
      </c>
      <c r="C264" s="21" t="inlineStr">
        <is>
          <t>Security</t>
        </is>
      </c>
      <c r="D264" s="21" t="inlineStr">
        <is>
          <t>Portrait Orientation</t>
        </is>
      </c>
      <c r="E264" s="21" t="inlineStr">
        <is>
          <t>Verify Portrait Orientation functionality on iOS - Safari - Case 6</t>
        </is>
      </c>
      <c r="F264" s="22" t="inlineStr">
        <is>
          <t>AgroVision web app running on iOS - Safari, User state initialized, Network connected.</t>
        </is>
      </c>
      <c r="G264" s="22" t="inlineStr">
        <is>
          <t>1. Launch browser on iOS - Safari
2. Navigate to /gest
3. Trigger action for Portrait Orientation
4. Verify DOM element response &amp; mobile touch feedback.</t>
        </is>
      </c>
      <c r="H264" s="22" t="inlineStr">
        <is>
          <t>Portrait Orientation renders correctly without breaking layout, updating state in &lt; 1.5s.</t>
        </is>
      </c>
      <c r="I264" s="22" t="inlineStr">
        <is>
          <t>Successfully verified Portrait Orientation functionality on mobile viewport with expected UI state.</t>
        </is>
      </c>
      <c r="J264" s="23" t="inlineStr">
        <is>
          <t>PASS</t>
        </is>
      </c>
      <c r="K264" s="25" t="inlineStr">
        <is>
          <t>HIGH</t>
        </is>
      </c>
      <c r="L264" s="20" t="n">
        <v>1298</v>
      </c>
      <c r="M264" s="20" t="inlineStr">
        <is>
          <t>iOS - Safari</t>
        </is>
      </c>
      <c r="N264" s="20" t="inlineStr">
        <is>
          <t>Appium WebdriverIO</t>
        </is>
      </c>
    </row>
    <row r="265">
      <c r="A265" s="20" t="inlineStr">
        <is>
          <t>TC_GEST_007</t>
        </is>
      </c>
      <c r="B265" s="21" t="inlineStr">
        <is>
          <t>Mobile Gestures &amp; Responsiveness</t>
        </is>
      </c>
      <c r="C265" s="21" t="inlineStr">
        <is>
          <t>Accessibility</t>
        </is>
      </c>
      <c r="D265" s="21" t="inlineStr">
        <is>
          <t>Landscape Orientation</t>
        </is>
      </c>
      <c r="E265" s="21" t="inlineStr">
        <is>
          <t>Verify Landscape Orientation functionality on Android Native Webview - Case 7</t>
        </is>
      </c>
      <c r="F265" s="22" t="inlineStr">
        <is>
          <t>AgroVision web app running on Android Native Webview, User state initialized, Network connected.</t>
        </is>
      </c>
      <c r="G265" s="22" t="inlineStr">
        <is>
          <t>1. Launch browser on Android Native Webview
2. Navigate to /gest
3. Trigger action for Landscape Orientation
4. Verify DOM element response &amp; mobile touch feedback.</t>
        </is>
      </c>
      <c r="H265" s="22" t="inlineStr">
        <is>
          <t>Landscape Orientation renders correctly without breaking layout, updating state in &lt; 1.5s.</t>
        </is>
      </c>
      <c r="I265" s="22" t="inlineStr">
        <is>
          <t>Successfully verified Landscape Orientation functionality on mobile viewport with expected UI state.</t>
        </is>
      </c>
      <c r="J265" s="23" t="inlineStr">
        <is>
          <t>PASS</t>
        </is>
      </c>
      <c r="K265" s="25" t="inlineStr">
        <is>
          <t>HIGH</t>
        </is>
      </c>
      <c r="L265" s="20" t="n">
        <v>1029</v>
      </c>
      <c r="M265" s="20" t="inlineStr">
        <is>
          <t>Android Native Webview</t>
        </is>
      </c>
      <c r="N265" s="20" t="inlineStr">
        <is>
          <t>Appium WebdriverIO</t>
        </is>
      </c>
    </row>
    <row r="266">
      <c r="A266" s="20" t="inlineStr">
        <is>
          <t>TC_GEST_008</t>
        </is>
      </c>
      <c r="B266" s="21" t="inlineStr">
        <is>
          <t>Mobile Gestures &amp; Responsiveness</t>
        </is>
      </c>
      <c r="C266" s="21" t="inlineStr">
        <is>
          <t>Functional</t>
        </is>
      </c>
      <c r="D266" s="21" t="inlineStr">
        <is>
          <t>Virtual Keyboard Resize</t>
        </is>
      </c>
      <c r="E266" s="21" t="inlineStr">
        <is>
          <t>Verify Virtual Keyboard Resize functionality on iOS Hybrid App - Case 8</t>
        </is>
      </c>
      <c r="F266" s="22" t="inlineStr">
        <is>
          <t>AgroVision web app running on iOS Hybrid App, User state initialized, Network connected.</t>
        </is>
      </c>
      <c r="G266" s="22" t="inlineStr">
        <is>
          <t>1. Launch browser on iOS Hybrid App
2. Navigate to /gest
3. Trigger action for Virtual Keyboard Resize
4. Verify DOM element response &amp; mobile touch feedback.</t>
        </is>
      </c>
      <c r="H266" s="22" t="inlineStr">
        <is>
          <t>Virtual Keyboard Resize renders correctly without breaking layout, updating state in &lt; 1.5s.</t>
        </is>
      </c>
      <c r="I266" s="22" t="inlineStr">
        <is>
          <t>Successfully verified Virtual Keyboard Resize functionality on mobile viewport with expected UI state.</t>
        </is>
      </c>
      <c r="J266" s="23" t="inlineStr">
        <is>
          <t>PASS</t>
        </is>
      </c>
      <c r="K266" s="25" t="inlineStr">
        <is>
          <t>HIGH</t>
        </is>
      </c>
      <c r="L266" s="20" t="n">
        <v>1074</v>
      </c>
      <c r="M266" s="20" t="inlineStr">
        <is>
          <t>iOS Hybrid App</t>
        </is>
      </c>
      <c r="N266" s="20" t="inlineStr">
        <is>
          <t>Appium WebdriverIO</t>
        </is>
      </c>
    </row>
    <row r="267">
      <c r="A267" s="20" t="inlineStr">
        <is>
          <t>TC_GEST_009</t>
        </is>
      </c>
      <c r="B267" s="21" t="inlineStr">
        <is>
          <t>Mobile Gestures &amp; Responsiveness</t>
        </is>
      </c>
      <c r="C267" s="21" t="inlineStr">
        <is>
          <t>UI Layout</t>
        </is>
      </c>
      <c r="D267" s="21" t="inlineStr">
        <is>
          <t>Touch Tap</t>
        </is>
      </c>
      <c r="E267" s="21" t="inlineStr">
        <is>
          <t>Verify Touch Tap functionality on Android - Chrome - Case 9</t>
        </is>
      </c>
      <c r="F267" s="22" t="inlineStr">
        <is>
          <t>AgroVision web app running on Android - Chrome, User state initialized, Network connected.</t>
        </is>
      </c>
      <c r="G267" s="22" t="inlineStr">
        <is>
          <t>1. Launch browser on Android - Chrome
2. Navigate to /gest
3. Trigger action for Touch Tap
4. Verify DOM element response &amp; mobile touch feedback.</t>
        </is>
      </c>
      <c r="H267" s="22" t="inlineStr">
        <is>
          <t>Touch Tap renders correctly without breaking layout, updating state in &lt; 1.5s.</t>
        </is>
      </c>
      <c r="I267" s="22" t="inlineStr">
        <is>
          <t>Successfully verified Touch Tap functionality on mobile viewport with expected UI state.</t>
        </is>
      </c>
      <c r="J267" s="23" t="inlineStr">
        <is>
          <t>PASS</t>
        </is>
      </c>
      <c r="K267" s="25" t="inlineStr">
        <is>
          <t>HIGH</t>
        </is>
      </c>
      <c r="L267" s="20" t="n">
        <v>1554</v>
      </c>
      <c r="M267" s="20" t="inlineStr">
        <is>
          <t>Android - Chrome</t>
        </is>
      </c>
      <c r="N267" s="20" t="inlineStr">
        <is>
          <t>Appium WebdriverIO</t>
        </is>
      </c>
    </row>
    <row r="268">
      <c r="A268" s="20" t="inlineStr">
        <is>
          <t>TC_GEST_010</t>
        </is>
      </c>
      <c r="B268" s="21" t="inlineStr">
        <is>
          <t>Mobile Gestures &amp; Responsiveness</t>
        </is>
      </c>
      <c r="C268" s="21" t="inlineStr">
        <is>
          <t>Touch Gesture</t>
        </is>
      </c>
      <c r="D268" s="21" t="inlineStr">
        <is>
          <t>Double Tap Zoom</t>
        </is>
      </c>
      <c r="E268" s="21" t="inlineStr">
        <is>
          <t>Verify Double Tap Zoom functionality on iOS - Safari - Case 10</t>
        </is>
      </c>
      <c r="F268" s="22" t="inlineStr">
        <is>
          <t>AgroVision web app running on iOS - Safari, User state initialized, Network connected.</t>
        </is>
      </c>
      <c r="G268" s="22" t="inlineStr">
        <is>
          <t>1. Launch browser on iOS - Safari
2. Navigate to /gest
3. Trigger action for Double Tap Zoom
4. Verify DOM element response &amp; mobile touch feedback.</t>
        </is>
      </c>
      <c r="H268" s="22" t="inlineStr">
        <is>
          <t>Double Tap Zoom renders correctly without breaking layout, updating state in &lt; 1.5s.</t>
        </is>
      </c>
      <c r="I268" s="22" t="inlineStr">
        <is>
          <t>Successfully verified Double Tap Zoom functionality on mobile viewport with expected UI state.</t>
        </is>
      </c>
      <c r="J268" s="23" t="inlineStr">
        <is>
          <t>PASS</t>
        </is>
      </c>
      <c r="K268" s="25" t="inlineStr">
        <is>
          <t>HIGH</t>
        </is>
      </c>
      <c r="L268" s="20" t="n">
        <v>1076</v>
      </c>
      <c r="M268" s="20" t="inlineStr">
        <is>
          <t>iOS - Safari</t>
        </is>
      </c>
      <c r="N268" s="20" t="inlineStr">
        <is>
          <t>Appium WebdriverIO</t>
        </is>
      </c>
    </row>
    <row r="269">
      <c r="A269" s="20" t="inlineStr">
        <is>
          <t>TC_GEST_011</t>
        </is>
      </c>
      <c r="B269" s="21" t="inlineStr">
        <is>
          <t>Mobile Gestures &amp; Responsiveness</t>
        </is>
      </c>
      <c r="C269" s="21" t="inlineStr">
        <is>
          <t>Offline DB</t>
        </is>
      </c>
      <c r="D269" s="21" t="inlineStr">
        <is>
          <t>Swipe Left/Right Cards</t>
        </is>
      </c>
      <c r="E269" s="21" t="inlineStr">
        <is>
          <t>Verify Swipe Left/Right Cards functionality on Android Native Webview - Case 11</t>
        </is>
      </c>
      <c r="F269" s="22" t="inlineStr">
        <is>
          <t>AgroVision web app running on Android Native Webview, User state initialized, Network connected.</t>
        </is>
      </c>
      <c r="G269" s="22" t="inlineStr">
        <is>
          <t>1. Launch browser on Android Native Webview
2. Navigate to /gest
3. Trigger action for Swipe Left/Right Cards
4. Verify DOM element response &amp; mobile touch feedback.</t>
        </is>
      </c>
      <c r="H269" s="22" t="inlineStr">
        <is>
          <t>Swipe Left/Right Cards renders correctly without breaking layout, updating state in &lt; 1.5s.</t>
        </is>
      </c>
      <c r="I269" s="22" t="inlineStr">
        <is>
          <t>Successfully verified Swipe Left/Right Cards functionality on mobile viewport with expected UI state.</t>
        </is>
      </c>
      <c r="J269" s="23" t="inlineStr">
        <is>
          <t>PASS</t>
        </is>
      </c>
      <c r="K269" s="25" t="inlineStr">
        <is>
          <t>HIGH</t>
        </is>
      </c>
      <c r="L269" s="20" t="n">
        <v>515</v>
      </c>
      <c r="M269" s="20" t="inlineStr">
        <is>
          <t>Android Native Webview</t>
        </is>
      </c>
      <c r="N269" s="20" t="inlineStr">
        <is>
          <t>Appium WebdriverIO</t>
        </is>
      </c>
    </row>
    <row r="270">
      <c r="A270" s="20" t="inlineStr">
        <is>
          <t>TC_GEST_012</t>
        </is>
      </c>
      <c r="B270" s="21" t="inlineStr">
        <is>
          <t>Mobile Gestures &amp; Responsiveness</t>
        </is>
      </c>
      <c r="C270" s="21" t="inlineStr">
        <is>
          <t>Performance</t>
        </is>
      </c>
      <c r="D270" s="21" t="inlineStr">
        <is>
          <t>Long Press Actions</t>
        </is>
      </c>
      <c r="E270" s="21" t="inlineStr">
        <is>
          <t>Verify Long Press Actions functionality on iOS Hybrid App - Case 12</t>
        </is>
      </c>
      <c r="F270" s="22" t="inlineStr">
        <is>
          <t>AgroVision web app running on iOS Hybrid App, User state initialized, Network connected.</t>
        </is>
      </c>
      <c r="G270" s="22" t="inlineStr">
        <is>
          <t>1. Launch browser on iOS Hybrid App
2. Navigate to /gest
3. Trigger action for Long Press Actions
4. Verify DOM element response &amp; mobile touch feedback.</t>
        </is>
      </c>
      <c r="H270" s="22" t="inlineStr">
        <is>
          <t>Long Press Actions renders correctly without breaking layout, updating state in &lt; 1.5s.</t>
        </is>
      </c>
      <c r="I270" s="22" t="inlineStr">
        <is>
          <t>Successfully verified Long Press Actions functionality on mobile viewport with expected UI state.</t>
        </is>
      </c>
      <c r="J270" s="23" t="inlineStr">
        <is>
          <t>PASS</t>
        </is>
      </c>
      <c r="K270" s="25" t="inlineStr">
        <is>
          <t>HIGH</t>
        </is>
      </c>
      <c r="L270" s="20" t="n">
        <v>318</v>
      </c>
      <c r="M270" s="20" t="inlineStr">
        <is>
          <t>iOS Hybrid App</t>
        </is>
      </c>
      <c r="N270" s="20" t="inlineStr">
        <is>
          <t>Appium WebdriverIO</t>
        </is>
      </c>
    </row>
    <row r="271">
      <c r="A271" s="20" t="inlineStr">
        <is>
          <t>TC_GEST_013</t>
        </is>
      </c>
      <c r="B271" s="21" t="inlineStr">
        <is>
          <t>Mobile Gestures &amp; Responsiveness</t>
        </is>
      </c>
      <c r="C271" s="21" t="inlineStr">
        <is>
          <t>Security</t>
        </is>
      </c>
      <c r="D271" s="21" t="inlineStr">
        <is>
          <t>Pinch Zoom Image</t>
        </is>
      </c>
      <c r="E271" s="21" t="inlineStr">
        <is>
          <t>Verify Pinch Zoom Image functionality on Android - Chrome - Case 13</t>
        </is>
      </c>
      <c r="F271" s="22" t="inlineStr">
        <is>
          <t>AgroVision web app running on Android - Chrome, User state initialized, Network connected.</t>
        </is>
      </c>
      <c r="G271" s="22" t="inlineStr">
        <is>
          <t>1. Launch browser on Android - Chrome
2. Navigate to /gest
3. Trigger action for Pinch Zoom Image
4. Verify DOM element response &amp; mobile touch feedback.</t>
        </is>
      </c>
      <c r="H271" s="22" t="inlineStr">
        <is>
          <t>Pinch Zoom Image renders correctly without breaking layout, updating state in &lt; 1.5s.</t>
        </is>
      </c>
      <c r="I271" s="22" t="inlineStr">
        <is>
          <t>Successfully verified Pinch Zoom Image functionality on mobile viewport with expected UI state.</t>
        </is>
      </c>
      <c r="J271" s="23" t="inlineStr">
        <is>
          <t>PASS</t>
        </is>
      </c>
      <c r="K271" s="25" t="inlineStr">
        <is>
          <t>HIGH</t>
        </is>
      </c>
      <c r="L271" s="20" t="n">
        <v>701</v>
      </c>
      <c r="M271" s="20" t="inlineStr">
        <is>
          <t>Android - Chrome</t>
        </is>
      </c>
      <c r="N271" s="20" t="inlineStr">
        <is>
          <t>Appium WebdriverIO</t>
        </is>
      </c>
    </row>
    <row r="272">
      <c r="A272" s="20" t="inlineStr">
        <is>
          <t>TC_GEST_014</t>
        </is>
      </c>
      <c r="B272" s="21" t="inlineStr">
        <is>
          <t>Mobile Gestures &amp; Responsiveness</t>
        </is>
      </c>
      <c r="C272" s="21" t="inlineStr">
        <is>
          <t>Accessibility</t>
        </is>
      </c>
      <c r="D272" s="21" t="inlineStr">
        <is>
          <t>Portrait Orientation</t>
        </is>
      </c>
      <c r="E272" s="21" t="inlineStr">
        <is>
          <t>Verify Portrait Orientation functionality on iOS - Safari - Case 14</t>
        </is>
      </c>
      <c r="F272" s="22" t="inlineStr">
        <is>
          <t>AgroVision web app running on iOS - Safari, User state initialized, Network connected.</t>
        </is>
      </c>
      <c r="G272" s="22" t="inlineStr">
        <is>
          <t>1. Launch browser on iOS - Safari
2. Navigate to /gest
3. Trigger action for Portrait Orientation
4. Verify DOM element response &amp; mobile touch feedback.</t>
        </is>
      </c>
      <c r="H272" s="22" t="inlineStr">
        <is>
          <t>Portrait Orientation renders correctly without breaking layout, updating state in &lt; 1.5s.</t>
        </is>
      </c>
      <c r="I272" s="22" t="inlineStr">
        <is>
          <t>Successfully verified Portrait Orientation functionality on mobile viewport with expected UI state.</t>
        </is>
      </c>
      <c r="J272" s="23" t="inlineStr">
        <is>
          <t>PASS</t>
        </is>
      </c>
      <c r="K272" s="25" t="inlineStr">
        <is>
          <t>HIGH</t>
        </is>
      </c>
      <c r="L272" s="20" t="n">
        <v>997</v>
      </c>
      <c r="M272" s="20" t="inlineStr">
        <is>
          <t>iOS - Safari</t>
        </is>
      </c>
      <c r="N272" s="20" t="inlineStr">
        <is>
          <t>Appium WebdriverIO</t>
        </is>
      </c>
    </row>
    <row r="273">
      <c r="A273" s="20" t="inlineStr">
        <is>
          <t>TC_GEST_015</t>
        </is>
      </c>
      <c r="B273" s="21" t="inlineStr">
        <is>
          <t>Mobile Gestures &amp; Responsiveness</t>
        </is>
      </c>
      <c r="C273" s="21" t="inlineStr">
        <is>
          <t>Functional</t>
        </is>
      </c>
      <c r="D273" s="21" t="inlineStr">
        <is>
          <t>Landscape Orientation</t>
        </is>
      </c>
      <c r="E273" s="21" t="inlineStr">
        <is>
          <t>Verify Landscape Orientation functionality on Android Native Webview - Case 15</t>
        </is>
      </c>
      <c r="F273" s="22" t="inlineStr">
        <is>
          <t>AgroVision web app running on Android Native Webview, User state initialized, Network connected.</t>
        </is>
      </c>
      <c r="G273" s="22" t="inlineStr">
        <is>
          <t>1. Launch browser on Android Native Webview
2. Navigate to /gest
3. Trigger action for Landscape Orientation
4. Verify DOM element response &amp; mobile touch feedback.</t>
        </is>
      </c>
      <c r="H273" s="22" t="inlineStr">
        <is>
          <t>Landscape Orientation renders correctly without breaking layout, updating state in &lt; 1.5s.</t>
        </is>
      </c>
      <c r="I273" s="22" t="inlineStr">
        <is>
          <t>Successfully verified Landscape Orientation functionality on mobile viewport with expected UI state.</t>
        </is>
      </c>
      <c r="J273" s="23" t="inlineStr">
        <is>
          <t>PASS</t>
        </is>
      </c>
      <c r="K273" s="25" t="inlineStr">
        <is>
          <t>HIGH</t>
        </is>
      </c>
      <c r="L273" s="20" t="n">
        <v>500</v>
      </c>
      <c r="M273" s="20" t="inlineStr">
        <is>
          <t>Android Native Webview</t>
        </is>
      </c>
      <c r="N273" s="20" t="inlineStr">
        <is>
          <t>Appium WebdriverIO</t>
        </is>
      </c>
    </row>
    <row r="274">
      <c r="A274" s="20" t="inlineStr">
        <is>
          <t>TC_GEST_016</t>
        </is>
      </c>
      <c r="B274" s="21" t="inlineStr">
        <is>
          <t>Mobile Gestures &amp; Responsiveness</t>
        </is>
      </c>
      <c r="C274" s="21" t="inlineStr">
        <is>
          <t>UI Layout</t>
        </is>
      </c>
      <c r="D274" s="21" t="inlineStr">
        <is>
          <t>Virtual Keyboard Resize</t>
        </is>
      </c>
      <c r="E274" s="21" t="inlineStr">
        <is>
          <t>Verify Virtual Keyboard Resize functionality on iOS Hybrid App - Case 16</t>
        </is>
      </c>
      <c r="F274" s="22" t="inlineStr">
        <is>
          <t>AgroVision web app running on iOS Hybrid App, User state initialized, Network connected.</t>
        </is>
      </c>
      <c r="G274" s="22" t="inlineStr">
        <is>
          <t>1. Launch browser on iOS Hybrid App
2. Navigate to /gest
3. Trigger action for Virtual Keyboard Resize
4. Verify DOM element response &amp; mobile touch feedback.</t>
        </is>
      </c>
      <c r="H274" s="22" t="inlineStr">
        <is>
          <t>Virtual Keyboard Resize renders correctly without breaking layout, updating state in &lt; 1.5s.</t>
        </is>
      </c>
      <c r="I274" s="22" t="inlineStr">
        <is>
          <t>Successfully verified Virtual Keyboard Resize functionality on mobile viewport with expected UI state.</t>
        </is>
      </c>
      <c r="J274" s="23" t="inlineStr">
        <is>
          <t>PASS</t>
        </is>
      </c>
      <c r="K274" s="27" t="inlineStr">
        <is>
          <t>MEDIUM</t>
        </is>
      </c>
      <c r="L274" s="20" t="n">
        <v>1616</v>
      </c>
      <c r="M274" s="20" t="inlineStr">
        <is>
          <t>iOS Hybrid App</t>
        </is>
      </c>
      <c r="N274" s="20" t="inlineStr">
        <is>
          <t>Appium WebdriverIO</t>
        </is>
      </c>
    </row>
    <row r="275">
      <c r="A275" s="20" t="inlineStr">
        <is>
          <t>TC_GEST_017</t>
        </is>
      </c>
      <c r="B275" s="21" t="inlineStr">
        <is>
          <t>Mobile Gestures &amp; Responsiveness</t>
        </is>
      </c>
      <c r="C275" s="21" t="inlineStr">
        <is>
          <t>Touch Gesture</t>
        </is>
      </c>
      <c r="D275" s="21" t="inlineStr">
        <is>
          <t>Touch Tap</t>
        </is>
      </c>
      <c r="E275" s="21" t="inlineStr">
        <is>
          <t>Verify Touch Tap functionality on Android - Chrome - Case 17</t>
        </is>
      </c>
      <c r="F275" s="22" t="inlineStr">
        <is>
          <t>AgroVision web app running on Android - Chrome, User state initialized, Network connected.</t>
        </is>
      </c>
      <c r="G275" s="22" t="inlineStr">
        <is>
          <t>1. Launch browser on Android - Chrome
2. Navigate to /gest
3. Trigger action for Touch Tap
4. Verify DOM element response &amp; mobile touch feedback.</t>
        </is>
      </c>
      <c r="H275" s="22" t="inlineStr">
        <is>
          <t>Touch Tap renders correctly without breaking layout, updating state in &lt; 1.5s.</t>
        </is>
      </c>
      <c r="I275" s="22" t="inlineStr">
        <is>
          <t>Successfully verified Touch Tap functionality on mobile viewport with expected UI state.</t>
        </is>
      </c>
      <c r="J275" s="23" t="inlineStr">
        <is>
          <t>PASS</t>
        </is>
      </c>
      <c r="K275" s="27" t="inlineStr">
        <is>
          <t>MEDIUM</t>
        </is>
      </c>
      <c r="L275" s="20" t="n">
        <v>1507</v>
      </c>
      <c r="M275" s="20" t="inlineStr">
        <is>
          <t>Android - Chrome</t>
        </is>
      </c>
      <c r="N275" s="20" t="inlineStr">
        <is>
          <t>Appium WebdriverIO</t>
        </is>
      </c>
    </row>
    <row r="276">
      <c r="A276" s="20" t="inlineStr">
        <is>
          <t>TC_GEST_018</t>
        </is>
      </c>
      <c r="B276" s="21" t="inlineStr">
        <is>
          <t>Mobile Gestures &amp; Responsiveness</t>
        </is>
      </c>
      <c r="C276" s="21" t="inlineStr">
        <is>
          <t>Offline DB</t>
        </is>
      </c>
      <c r="D276" s="21" t="inlineStr">
        <is>
          <t>Double Tap Zoom</t>
        </is>
      </c>
      <c r="E276" s="21" t="inlineStr">
        <is>
          <t>Verify Double Tap Zoom functionality on iOS - Safari - Case 18</t>
        </is>
      </c>
      <c r="F276" s="22" t="inlineStr">
        <is>
          <t>AgroVision web app running on iOS - Safari, User state initialized, Network connected.</t>
        </is>
      </c>
      <c r="G276" s="22" t="inlineStr">
        <is>
          <t>1. Launch browser on iOS - Safari
2. Navigate to /gest
3. Trigger action for Double Tap Zoom
4. Verify DOM element response &amp; mobile touch feedback.</t>
        </is>
      </c>
      <c r="H276" s="22" t="inlineStr">
        <is>
          <t>Double Tap Zoom renders correctly without breaking layout, updating state in &lt; 1.5s.</t>
        </is>
      </c>
      <c r="I276" s="22" t="inlineStr">
        <is>
          <t>Successfully verified Double Tap Zoom functionality on mobile viewport with expected UI state.</t>
        </is>
      </c>
      <c r="J276" s="23" t="inlineStr">
        <is>
          <t>PASS</t>
        </is>
      </c>
      <c r="K276" s="27" t="inlineStr">
        <is>
          <t>MEDIUM</t>
        </is>
      </c>
      <c r="L276" s="20" t="n">
        <v>1535</v>
      </c>
      <c r="M276" s="20" t="inlineStr">
        <is>
          <t>iOS - Safari</t>
        </is>
      </c>
      <c r="N276" s="20" t="inlineStr">
        <is>
          <t>Appium WebdriverIO</t>
        </is>
      </c>
    </row>
    <row r="277">
      <c r="A277" s="20" t="inlineStr">
        <is>
          <t>TC_GEST_019</t>
        </is>
      </c>
      <c r="B277" s="21" t="inlineStr">
        <is>
          <t>Mobile Gestures &amp; Responsiveness</t>
        </is>
      </c>
      <c r="C277" s="21" t="inlineStr">
        <is>
          <t>Performance</t>
        </is>
      </c>
      <c r="D277" s="21" t="inlineStr">
        <is>
          <t>Swipe Left/Right Cards</t>
        </is>
      </c>
      <c r="E277" s="21" t="inlineStr">
        <is>
          <t>Verify Swipe Left/Right Cards functionality on Android Native Webview - Case 19</t>
        </is>
      </c>
      <c r="F277" s="22" t="inlineStr">
        <is>
          <t>AgroVision web app running on Android Native Webview, User state initialized, Network connected.</t>
        </is>
      </c>
      <c r="G277" s="22" t="inlineStr">
        <is>
          <t>1. Launch browser on Android Native Webview
2. Navigate to /gest
3. Trigger action for Swipe Left/Right Cards
4. Verify DOM element response &amp; mobile touch feedback.</t>
        </is>
      </c>
      <c r="H277" s="22" t="inlineStr">
        <is>
          <t>Swipe Left/Right Cards renders correctly without breaking layout, updating state in &lt; 1.5s.</t>
        </is>
      </c>
      <c r="I277" s="22" t="inlineStr">
        <is>
          <t>Touch gesture response delayed (&gt;1500ms) on Swipe Left/Right Cards during low memory state.</t>
        </is>
      </c>
      <c r="J277" s="26" t="inlineStr">
        <is>
          <t>FAIL</t>
        </is>
      </c>
      <c r="K277" s="27" t="inlineStr">
        <is>
          <t>MEDIUM</t>
        </is>
      </c>
      <c r="L277" s="20" t="n">
        <v>1231</v>
      </c>
      <c r="M277" s="20" t="inlineStr">
        <is>
          <t>Android Native Webview</t>
        </is>
      </c>
      <c r="N277" s="20" t="inlineStr">
        <is>
          <t>Appium WebdriverIO</t>
        </is>
      </c>
    </row>
    <row r="278">
      <c r="A278" s="20" t="inlineStr">
        <is>
          <t>TC_GEST_020</t>
        </is>
      </c>
      <c r="B278" s="21" t="inlineStr">
        <is>
          <t>Mobile Gestures &amp; Responsiveness</t>
        </is>
      </c>
      <c r="C278" s="21" t="inlineStr">
        <is>
          <t>Security</t>
        </is>
      </c>
      <c r="D278" s="21" t="inlineStr">
        <is>
          <t>Long Press Actions</t>
        </is>
      </c>
      <c r="E278" s="21" t="inlineStr">
        <is>
          <t>Verify Long Press Actions functionality on iOS Hybrid App - Case 20</t>
        </is>
      </c>
      <c r="F278" s="22" t="inlineStr">
        <is>
          <t>AgroVision web app running on iOS Hybrid App, User state initialized, Network connected.</t>
        </is>
      </c>
      <c r="G278" s="22" t="inlineStr">
        <is>
          <t>1. Launch browser on iOS Hybrid App
2. Navigate to /gest
3. Trigger action for Long Press Actions
4. Verify DOM element response &amp; mobile touch feedback.</t>
        </is>
      </c>
      <c r="H278" s="22" t="inlineStr">
        <is>
          <t>Long Press Actions renders correctly without breaking layout, updating state in &lt; 1.5s.</t>
        </is>
      </c>
      <c r="I278" s="22" t="inlineStr">
        <is>
          <t>Successfully verified Long Press Actions functionality on mobile viewport with expected UI state.</t>
        </is>
      </c>
      <c r="J278" s="23" t="inlineStr">
        <is>
          <t>PASS</t>
        </is>
      </c>
      <c r="K278" s="27" t="inlineStr">
        <is>
          <t>MEDIUM</t>
        </is>
      </c>
      <c r="L278" s="20" t="n">
        <v>624</v>
      </c>
      <c r="M278" s="20" t="inlineStr">
        <is>
          <t>iOS Hybrid App</t>
        </is>
      </c>
      <c r="N278" s="20" t="inlineStr">
        <is>
          <t>Appium WebdriverIO</t>
        </is>
      </c>
    </row>
    <row r="279">
      <c r="A279" s="20" t="inlineStr">
        <is>
          <t>TC_GEST_021</t>
        </is>
      </c>
      <c r="B279" s="21" t="inlineStr">
        <is>
          <t>Mobile Gestures &amp; Responsiveness</t>
        </is>
      </c>
      <c r="C279" s="21" t="inlineStr">
        <is>
          <t>Accessibility</t>
        </is>
      </c>
      <c r="D279" s="21" t="inlineStr">
        <is>
          <t>Pinch Zoom Image</t>
        </is>
      </c>
      <c r="E279" s="21" t="inlineStr">
        <is>
          <t>Verify Pinch Zoom Image functionality on Android - Chrome - Case 21</t>
        </is>
      </c>
      <c r="F279" s="22" t="inlineStr">
        <is>
          <t>AgroVision web app running on Android - Chrome, User state initialized, Network connected.</t>
        </is>
      </c>
      <c r="G279" s="22" t="inlineStr">
        <is>
          <t>1. Launch browser on Android - Chrome
2. Navigate to /gest
3. Trigger action for Pinch Zoom Image
4. Verify DOM element response &amp; mobile touch feedback.</t>
        </is>
      </c>
      <c r="H279" s="22" t="inlineStr">
        <is>
          <t>Pinch Zoom Image renders correctly without breaking layout, updating state in &lt; 1.5s.</t>
        </is>
      </c>
      <c r="I279" s="22" t="inlineStr">
        <is>
          <t>Successfully verified Pinch Zoom Image functionality on mobile viewport with expected UI state.</t>
        </is>
      </c>
      <c r="J279" s="23" t="inlineStr">
        <is>
          <t>PASS</t>
        </is>
      </c>
      <c r="K279" s="27" t="inlineStr">
        <is>
          <t>MEDIUM</t>
        </is>
      </c>
      <c r="L279" s="20" t="n">
        <v>1305</v>
      </c>
      <c r="M279" s="20" t="inlineStr">
        <is>
          <t>Android - Chrome</t>
        </is>
      </c>
      <c r="N279" s="20" t="inlineStr">
        <is>
          <t>Appium WebdriverIO</t>
        </is>
      </c>
    </row>
    <row r="280">
      <c r="A280" s="20" t="inlineStr">
        <is>
          <t>TC_GEST_022</t>
        </is>
      </c>
      <c r="B280" s="21" t="inlineStr">
        <is>
          <t>Mobile Gestures &amp; Responsiveness</t>
        </is>
      </c>
      <c r="C280" s="21" t="inlineStr">
        <is>
          <t>Functional</t>
        </is>
      </c>
      <c r="D280" s="21" t="inlineStr">
        <is>
          <t>Portrait Orientation</t>
        </is>
      </c>
      <c r="E280" s="21" t="inlineStr">
        <is>
          <t>Verify Portrait Orientation functionality on iOS - Safari - Case 22</t>
        </is>
      </c>
      <c r="F280" s="22" t="inlineStr">
        <is>
          <t>AgroVision web app running on iOS - Safari, User state initialized, Network connected.</t>
        </is>
      </c>
      <c r="G280" s="22" t="inlineStr">
        <is>
          <t>1. Launch browser on iOS - Safari
2. Navigate to /gest
3. Trigger action for Portrait Orientation
4. Verify DOM element response &amp; mobile touch feedback.</t>
        </is>
      </c>
      <c r="H280" s="22" t="inlineStr">
        <is>
          <t>Portrait Orientation renders correctly without breaking layout, updating state in &lt; 1.5s.</t>
        </is>
      </c>
      <c r="I280" s="22" t="inlineStr">
        <is>
          <t>Successfully verified Portrait Orientation functionality on mobile viewport with expected UI state.</t>
        </is>
      </c>
      <c r="J280" s="23" t="inlineStr">
        <is>
          <t>PASS</t>
        </is>
      </c>
      <c r="K280" s="27" t="inlineStr">
        <is>
          <t>MEDIUM</t>
        </is>
      </c>
      <c r="L280" s="20" t="n">
        <v>1403</v>
      </c>
      <c r="M280" s="20" t="inlineStr">
        <is>
          <t>iOS - Safari</t>
        </is>
      </c>
      <c r="N280" s="20" t="inlineStr">
        <is>
          <t>Appium WebdriverIO</t>
        </is>
      </c>
    </row>
    <row r="281">
      <c r="A281" s="20" t="inlineStr">
        <is>
          <t>TC_GEST_023</t>
        </is>
      </c>
      <c r="B281" s="21" t="inlineStr">
        <is>
          <t>Mobile Gestures &amp; Responsiveness</t>
        </is>
      </c>
      <c r="C281" s="21" t="inlineStr">
        <is>
          <t>UI Layout</t>
        </is>
      </c>
      <c r="D281" s="21" t="inlineStr">
        <is>
          <t>Landscape Orientation</t>
        </is>
      </c>
      <c r="E281" s="21" t="inlineStr">
        <is>
          <t>Verify Landscape Orientation functionality on Android Native Webview - Case 23</t>
        </is>
      </c>
      <c r="F281" s="22" t="inlineStr">
        <is>
          <t>AgroVision web app running on Android Native Webview, User state initialized, Network connected.</t>
        </is>
      </c>
      <c r="G281" s="22" t="inlineStr">
        <is>
          <t>1. Launch browser on Android Native Webview
2. Navigate to /gest
3. Trigger action for Landscape Orientation
4. Verify DOM element response &amp; mobile touch feedback.</t>
        </is>
      </c>
      <c r="H281" s="22" t="inlineStr">
        <is>
          <t>Landscape Orientation renders correctly without breaking layout, updating state in &lt; 1.5s.</t>
        </is>
      </c>
      <c r="I281" s="22" t="inlineStr">
        <is>
          <t>Successfully verified Landscape Orientation functionality on mobile viewport with expected UI state.</t>
        </is>
      </c>
      <c r="J281" s="23" t="inlineStr">
        <is>
          <t>PASS</t>
        </is>
      </c>
      <c r="K281" s="27" t="inlineStr">
        <is>
          <t>MEDIUM</t>
        </is>
      </c>
      <c r="L281" s="20" t="n">
        <v>386</v>
      </c>
      <c r="M281" s="20" t="inlineStr">
        <is>
          <t>Android Native Webview</t>
        </is>
      </c>
      <c r="N281" s="20" t="inlineStr">
        <is>
          <t>Appium WebdriverIO</t>
        </is>
      </c>
    </row>
    <row r="282">
      <c r="A282" s="20" t="inlineStr">
        <is>
          <t>TC_GEST_024</t>
        </is>
      </c>
      <c r="B282" s="21" t="inlineStr">
        <is>
          <t>Mobile Gestures &amp; Responsiveness</t>
        </is>
      </c>
      <c r="C282" s="21" t="inlineStr">
        <is>
          <t>Touch Gesture</t>
        </is>
      </c>
      <c r="D282" s="21" t="inlineStr">
        <is>
          <t>Virtual Keyboard Resize</t>
        </is>
      </c>
      <c r="E282" s="21" t="inlineStr">
        <is>
          <t>Verify Virtual Keyboard Resize functionality on iOS Hybrid App - Case 24</t>
        </is>
      </c>
      <c r="F282" s="22" t="inlineStr">
        <is>
          <t>AgroVision web app running on iOS Hybrid App, User state initialized, Network connected.</t>
        </is>
      </c>
      <c r="G282" s="22" t="inlineStr">
        <is>
          <t>1. Launch browser on iOS Hybrid App
2. Navigate to /gest
3. Trigger action for Virtual Keyboard Resize
4. Verify DOM element response &amp; mobile touch feedback.</t>
        </is>
      </c>
      <c r="H282" s="22" t="inlineStr">
        <is>
          <t>Virtual Keyboard Resize renders correctly without breaking layout, updating state in &lt; 1.5s.</t>
        </is>
      </c>
      <c r="I282" s="22" t="inlineStr">
        <is>
          <t>Successfully verified Virtual Keyboard Resize functionality on mobile viewport with expected UI state.</t>
        </is>
      </c>
      <c r="J282" s="23" t="inlineStr">
        <is>
          <t>PASS</t>
        </is>
      </c>
      <c r="K282" s="27" t="inlineStr">
        <is>
          <t>MEDIUM</t>
        </is>
      </c>
      <c r="L282" s="20" t="n">
        <v>1535</v>
      </c>
      <c r="M282" s="20" t="inlineStr">
        <is>
          <t>iOS Hybrid App</t>
        </is>
      </c>
      <c r="N282" s="20" t="inlineStr">
        <is>
          <t>Appium WebdriverIO</t>
        </is>
      </c>
    </row>
    <row r="283">
      <c r="A283" s="20" t="inlineStr">
        <is>
          <t>TC_GEST_025</t>
        </is>
      </c>
      <c r="B283" s="21" t="inlineStr">
        <is>
          <t>Mobile Gestures &amp; Responsiveness</t>
        </is>
      </c>
      <c r="C283" s="21" t="inlineStr">
        <is>
          <t>Offline DB</t>
        </is>
      </c>
      <c r="D283" s="21" t="inlineStr">
        <is>
          <t>Touch Tap</t>
        </is>
      </c>
      <c r="E283" s="21" t="inlineStr">
        <is>
          <t>Verify Touch Tap functionality on Android - Chrome - Case 25</t>
        </is>
      </c>
      <c r="F283" s="22" t="inlineStr">
        <is>
          <t>AgroVision web app running on Android - Chrome, User state initialized, Network connected.</t>
        </is>
      </c>
      <c r="G283" s="22" t="inlineStr">
        <is>
          <t>1. Launch browser on Android - Chrome
2. Navigate to /gest
3. Trigger action for Touch Tap
4. Verify DOM element response &amp; mobile touch feedback.</t>
        </is>
      </c>
      <c r="H283" s="22" t="inlineStr">
        <is>
          <t>Touch Tap renders correctly without breaking layout, updating state in &lt; 1.5s.</t>
        </is>
      </c>
      <c r="I283" s="22" t="inlineStr">
        <is>
          <t>Successfully verified Touch Tap functionality on mobile viewport with expected UI state.</t>
        </is>
      </c>
      <c r="J283" s="23" t="inlineStr">
        <is>
          <t>PASS</t>
        </is>
      </c>
      <c r="K283" s="27" t="inlineStr">
        <is>
          <t>MEDIUM</t>
        </is>
      </c>
      <c r="L283" s="20" t="n">
        <v>1604</v>
      </c>
      <c r="M283" s="20" t="inlineStr">
        <is>
          <t>Android - Chrome</t>
        </is>
      </c>
      <c r="N283" s="20" t="inlineStr">
        <is>
          <t>Appium WebdriverIO</t>
        </is>
      </c>
    </row>
    <row r="284">
      <c r="A284" s="20" t="inlineStr">
        <is>
          <t>TC_GEST_026</t>
        </is>
      </c>
      <c r="B284" s="21" t="inlineStr">
        <is>
          <t>Mobile Gestures &amp; Responsiveness</t>
        </is>
      </c>
      <c r="C284" s="21" t="inlineStr">
        <is>
          <t>Performance</t>
        </is>
      </c>
      <c r="D284" s="21" t="inlineStr">
        <is>
          <t>Double Tap Zoom</t>
        </is>
      </c>
      <c r="E284" s="21" t="inlineStr">
        <is>
          <t>Verify Double Tap Zoom functionality on iOS - Safari - Case 26</t>
        </is>
      </c>
      <c r="F284" s="22" t="inlineStr">
        <is>
          <t>AgroVision web app running on iOS - Safari, User state initialized, Network connected.</t>
        </is>
      </c>
      <c r="G284" s="22" t="inlineStr">
        <is>
          <t>1. Launch browser on iOS - Safari
2. Navigate to /gest
3. Trigger action for Double Tap Zoom
4. Verify DOM element response &amp; mobile touch feedback.</t>
        </is>
      </c>
      <c r="H284" s="22" t="inlineStr">
        <is>
          <t>Double Tap Zoom renders correctly without breaking layout, updating state in &lt; 1.5s.</t>
        </is>
      </c>
      <c r="I284" s="22" t="inlineStr">
        <is>
          <t>Successfully verified Double Tap Zoom functionality on mobile viewport with expected UI state.</t>
        </is>
      </c>
      <c r="J284" s="23" t="inlineStr">
        <is>
          <t>PASS</t>
        </is>
      </c>
      <c r="K284" s="27" t="inlineStr">
        <is>
          <t>MEDIUM</t>
        </is>
      </c>
      <c r="L284" s="20" t="n">
        <v>1026</v>
      </c>
      <c r="M284" s="20" t="inlineStr">
        <is>
          <t>iOS - Safari</t>
        </is>
      </c>
      <c r="N284" s="20" t="inlineStr">
        <is>
          <t>Appium WebdriverIO</t>
        </is>
      </c>
    </row>
    <row r="285">
      <c r="A285" s="20" t="inlineStr">
        <is>
          <t>TC_GEST_027</t>
        </is>
      </c>
      <c r="B285" s="21" t="inlineStr">
        <is>
          <t>Mobile Gestures &amp; Responsiveness</t>
        </is>
      </c>
      <c r="C285" s="21" t="inlineStr">
        <is>
          <t>Security</t>
        </is>
      </c>
      <c r="D285" s="21" t="inlineStr">
        <is>
          <t>Swipe Left/Right Cards</t>
        </is>
      </c>
      <c r="E285" s="21" t="inlineStr">
        <is>
          <t>Verify Swipe Left/Right Cards functionality on Android Native Webview - Case 27</t>
        </is>
      </c>
      <c r="F285" s="22" t="inlineStr">
        <is>
          <t>AgroVision web app running on Android Native Webview, User state initialized, Network connected.</t>
        </is>
      </c>
      <c r="G285" s="22" t="inlineStr">
        <is>
          <t>1. Launch browser on Android Native Webview
2. Navigate to /gest
3. Trigger action for Swipe Left/Right Cards
4. Verify DOM element response &amp; mobile touch feedback.</t>
        </is>
      </c>
      <c r="H285" s="22" t="inlineStr">
        <is>
          <t>Swipe Left/Right Cards renders correctly without breaking layout, updating state in &lt; 1.5s.</t>
        </is>
      </c>
      <c r="I285" s="22" t="inlineStr">
        <is>
          <t>Successfully verified Swipe Left/Right Cards functionality on mobile viewport with expected UI state.</t>
        </is>
      </c>
      <c r="J285" s="23" t="inlineStr">
        <is>
          <t>PASS</t>
        </is>
      </c>
      <c r="K285" s="27" t="inlineStr">
        <is>
          <t>MEDIUM</t>
        </is>
      </c>
      <c r="L285" s="20" t="n">
        <v>1370</v>
      </c>
      <c r="M285" s="20" t="inlineStr">
        <is>
          <t>Android Native Webview</t>
        </is>
      </c>
      <c r="N285" s="20" t="inlineStr">
        <is>
          <t>Appium WebdriverIO</t>
        </is>
      </c>
    </row>
    <row r="286">
      <c r="A286" s="20" t="inlineStr">
        <is>
          <t>TC_GEST_028</t>
        </is>
      </c>
      <c r="B286" s="21" t="inlineStr">
        <is>
          <t>Mobile Gestures &amp; Responsiveness</t>
        </is>
      </c>
      <c r="C286" s="21" t="inlineStr">
        <is>
          <t>Accessibility</t>
        </is>
      </c>
      <c r="D286" s="21" t="inlineStr">
        <is>
          <t>Long Press Actions</t>
        </is>
      </c>
      <c r="E286" s="21" t="inlineStr">
        <is>
          <t>Verify Long Press Actions functionality on iOS Hybrid App - Case 28</t>
        </is>
      </c>
      <c r="F286" s="22" t="inlineStr">
        <is>
          <t>AgroVision web app running on iOS Hybrid App, User state initialized, Network connected.</t>
        </is>
      </c>
      <c r="G286" s="22" t="inlineStr">
        <is>
          <t>1. Launch browser on iOS Hybrid App
2. Navigate to /gest
3. Trigger action for Long Press Actions
4. Verify DOM element response &amp; mobile touch feedback.</t>
        </is>
      </c>
      <c r="H286" s="22" t="inlineStr">
        <is>
          <t>Long Press Actions renders correctly without breaking layout, updating state in &lt; 1.5s.</t>
        </is>
      </c>
      <c r="I286" s="22" t="inlineStr">
        <is>
          <t>Successfully verified Long Press Actions functionality on mobile viewport with expected UI state.</t>
        </is>
      </c>
      <c r="J286" s="23" t="inlineStr">
        <is>
          <t>PASS</t>
        </is>
      </c>
      <c r="K286" s="27" t="inlineStr">
        <is>
          <t>MEDIUM</t>
        </is>
      </c>
      <c r="L286" s="20" t="n">
        <v>692</v>
      </c>
      <c r="M286" s="20" t="inlineStr">
        <is>
          <t>iOS Hybrid App</t>
        </is>
      </c>
      <c r="N286" s="20" t="inlineStr">
        <is>
          <t>Appium WebdriverIO</t>
        </is>
      </c>
    </row>
    <row r="287">
      <c r="A287" s="20" t="inlineStr">
        <is>
          <t>TC_GEST_029</t>
        </is>
      </c>
      <c r="B287" s="21" t="inlineStr">
        <is>
          <t>Mobile Gestures &amp; Responsiveness</t>
        </is>
      </c>
      <c r="C287" s="21" t="inlineStr">
        <is>
          <t>Functional</t>
        </is>
      </c>
      <c r="D287" s="21" t="inlineStr">
        <is>
          <t>Pinch Zoom Image</t>
        </is>
      </c>
      <c r="E287" s="21" t="inlineStr">
        <is>
          <t>Verify Pinch Zoom Image functionality on Android - Chrome - Case 29</t>
        </is>
      </c>
      <c r="F287" s="22" t="inlineStr">
        <is>
          <t>AgroVision web app running on Android - Chrome, User state initialized, Network connected.</t>
        </is>
      </c>
      <c r="G287" s="22" t="inlineStr">
        <is>
          <t>1. Launch browser on Android - Chrome
2. Navigate to /gest
3. Trigger action for Pinch Zoom Image
4. Verify DOM element response &amp; mobile touch feedback.</t>
        </is>
      </c>
      <c r="H287" s="22" t="inlineStr">
        <is>
          <t>Pinch Zoom Image renders correctly without breaking layout, updating state in &lt; 1.5s.</t>
        </is>
      </c>
      <c r="I287" s="22" t="inlineStr">
        <is>
          <t>Successfully verified Pinch Zoom Image functionality on mobile viewport with expected UI state.</t>
        </is>
      </c>
      <c r="J287" s="23" t="inlineStr">
        <is>
          <t>PASS</t>
        </is>
      </c>
      <c r="K287" s="27" t="inlineStr">
        <is>
          <t>MEDIUM</t>
        </is>
      </c>
      <c r="L287" s="20" t="n">
        <v>759</v>
      </c>
      <c r="M287" s="20" t="inlineStr">
        <is>
          <t>Android - Chrome</t>
        </is>
      </c>
      <c r="N287" s="20" t="inlineStr">
        <is>
          <t>Appium WebdriverIO</t>
        </is>
      </c>
    </row>
    <row r="288">
      <c r="A288" s="20" t="inlineStr">
        <is>
          <t>TC_GEST_030</t>
        </is>
      </c>
      <c r="B288" s="21" t="inlineStr">
        <is>
          <t>Mobile Gestures &amp; Responsiveness</t>
        </is>
      </c>
      <c r="C288" s="21" t="inlineStr">
        <is>
          <t>UI Layout</t>
        </is>
      </c>
      <c r="D288" s="21" t="inlineStr">
        <is>
          <t>Portrait Orientation</t>
        </is>
      </c>
      <c r="E288" s="21" t="inlineStr">
        <is>
          <t>Verify Portrait Orientation functionality on iOS - Safari - Case 30</t>
        </is>
      </c>
      <c r="F288" s="22" t="inlineStr">
        <is>
          <t>AgroVision web app running on iOS - Safari, User state initialized, Network connected.</t>
        </is>
      </c>
      <c r="G288" s="22" t="inlineStr">
        <is>
          <t>1. Launch browser on iOS - Safari
2. Navigate to /gest
3. Trigger action for Portrait Orientation
4. Verify DOM element response &amp; mobile touch feedback.</t>
        </is>
      </c>
      <c r="H288" s="22" t="inlineStr">
        <is>
          <t>Portrait Orientation renders correctly without breaking layout, updating state in &lt; 1.5s.</t>
        </is>
      </c>
      <c r="I288" s="22" t="inlineStr">
        <is>
          <t>Successfully verified Portrait Orientation functionality on mobile viewport with expected UI state.</t>
        </is>
      </c>
      <c r="J288" s="23" t="inlineStr">
        <is>
          <t>PASS</t>
        </is>
      </c>
      <c r="K288" s="27" t="inlineStr">
        <is>
          <t>MEDIUM</t>
        </is>
      </c>
      <c r="L288" s="20" t="n">
        <v>1308</v>
      </c>
      <c r="M288" s="20" t="inlineStr">
        <is>
          <t>iOS - Safari</t>
        </is>
      </c>
      <c r="N288" s="20" t="inlineStr">
        <is>
          <t>Appium WebdriverIO</t>
        </is>
      </c>
    </row>
    <row r="289">
      <c r="A289" s="20" t="inlineStr">
        <is>
          <t>TC_PERF_001</t>
        </is>
      </c>
      <c r="B289" s="21" t="inlineStr">
        <is>
          <t>Performance, Network &amp; Edge Cases</t>
        </is>
      </c>
      <c r="C289" s="21" t="inlineStr">
        <is>
          <t>Functional</t>
        </is>
      </c>
      <c r="D289" s="21" t="inlineStr">
        <is>
          <t>Offline Network Mode</t>
        </is>
      </c>
      <c r="E289" s="21" t="inlineStr">
        <is>
          <t>Verify Offline Network Mode functionality on Android - Chrome - Case 1</t>
        </is>
      </c>
      <c r="F289" s="22" t="inlineStr">
        <is>
          <t>AgroVision web app running on Android - Chrome, User state initialized, Network connected.</t>
        </is>
      </c>
      <c r="G289" s="22" t="inlineStr">
        <is>
          <t>1. Launch browser on Android - Chrome
2. Navigate to /perf
3. Trigger action for Offline Network Mode
4. Verify DOM element response &amp; mobile touch feedback.</t>
        </is>
      </c>
      <c r="H289" s="22" t="inlineStr">
        <is>
          <t>Offline Network Mode renders correctly without breaking layout, updating state in &lt; 1.5s.</t>
        </is>
      </c>
      <c r="I289" s="22" t="inlineStr">
        <is>
          <t>Successfully verified Offline Network Mode functionality on mobile viewport with expected UI state.</t>
        </is>
      </c>
      <c r="J289" s="23" t="inlineStr">
        <is>
          <t>PASS</t>
        </is>
      </c>
      <c r="K289" s="24" t="inlineStr">
        <is>
          <t>CRITICAL</t>
        </is>
      </c>
      <c r="L289" s="20" t="n">
        <v>953</v>
      </c>
      <c r="M289" s="20" t="inlineStr">
        <is>
          <t>Android - Chrome</t>
        </is>
      </c>
      <c r="N289" s="20" t="inlineStr">
        <is>
          <t>Appium WebdriverIO</t>
        </is>
      </c>
    </row>
    <row r="290">
      <c r="A290" s="20" t="inlineStr">
        <is>
          <t>TC_PERF_002</t>
        </is>
      </c>
      <c r="B290" s="21" t="inlineStr">
        <is>
          <t>Performance, Network &amp; Edge Cases</t>
        </is>
      </c>
      <c r="C290" s="21" t="inlineStr">
        <is>
          <t>UI Layout</t>
        </is>
      </c>
      <c r="D290" s="21" t="inlineStr">
        <is>
          <t>Low Bandwidth 3G</t>
        </is>
      </c>
      <c r="E290" s="21" t="inlineStr">
        <is>
          <t>Verify Low Bandwidth 3G functionality on iOS - Safari - Case 2</t>
        </is>
      </c>
      <c r="F290" s="22" t="inlineStr">
        <is>
          <t>AgroVision web app running on iOS - Safari, User state initialized, Network connected.</t>
        </is>
      </c>
      <c r="G290" s="22" t="inlineStr">
        <is>
          <t>1. Launch browser on iOS - Safari
2. Navigate to /perf
3. Trigger action for Low Bandwidth 3G
4. Verify DOM element response &amp; mobile touch feedback.</t>
        </is>
      </c>
      <c r="H290" s="22" t="inlineStr">
        <is>
          <t>Low Bandwidth 3G renders correctly without breaking layout, updating state in &lt; 1.5s.</t>
        </is>
      </c>
      <c r="I290" s="22" t="inlineStr">
        <is>
          <t>Successfully verified Low Bandwidth 3G functionality on mobile viewport with expected UI state.</t>
        </is>
      </c>
      <c r="J290" s="23" t="inlineStr">
        <is>
          <t>PASS</t>
        </is>
      </c>
      <c r="K290" s="25" t="inlineStr">
        <is>
          <t>HIGH</t>
        </is>
      </c>
      <c r="L290" s="20" t="n">
        <v>1190</v>
      </c>
      <c r="M290" s="20" t="inlineStr">
        <is>
          <t>iOS - Safari</t>
        </is>
      </c>
      <c r="N290" s="20" t="inlineStr">
        <is>
          <t>Appium WebdriverIO</t>
        </is>
      </c>
    </row>
    <row r="291">
      <c r="A291" s="20" t="inlineStr">
        <is>
          <t>TC_PERF_003</t>
        </is>
      </c>
      <c r="B291" s="21" t="inlineStr">
        <is>
          <t>Performance, Network &amp; Edge Cases</t>
        </is>
      </c>
      <c r="C291" s="21" t="inlineStr">
        <is>
          <t>Touch Gesture</t>
        </is>
      </c>
      <c r="D291" s="21" t="inlineStr">
        <is>
          <t>Large Image Compression</t>
        </is>
      </c>
      <c r="E291" s="21" t="inlineStr">
        <is>
          <t>Verify Large Image Compression functionality on Android Native Webview - Case 3</t>
        </is>
      </c>
      <c r="F291" s="22" t="inlineStr">
        <is>
          <t>AgroVision web app running on Android Native Webview, User state initialized, Network connected.</t>
        </is>
      </c>
      <c r="G291" s="22" t="inlineStr">
        <is>
          <t>1. Launch browser on Android Native Webview
2. Navigate to /perf
3. Trigger action for Large Image Compression
4. Verify DOM element response &amp; mobile touch feedback.</t>
        </is>
      </c>
      <c r="H291" s="22" t="inlineStr">
        <is>
          <t>Large Image Compression renders correctly without breaking layout, updating state in &lt; 1.5s.</t>
        </is>
      </c>
      <c r="I291" s="22" t="inlineStr">
        <is>
          <t>Successfully verified Large Image Compression functionality on mobile viewport with expected UI state.</t>
        </is>
      </c>
      <c r="J291" s="23" t="inlineStr">
        <is>
          <t>PASS</t>
        </is>
      </c>
      <c r="K291" s="27" t="inlineStr">
        <is>
          <t>MEDIUM</t>
        </is>
      </c>
      <c r="L291" s="20" t="n">
        <v>1211</v>
      </c>
      <c r="M291" s="20" t="inlineStr">
        <is>
          <t>Android Native Webview</t>
        </is>
      </c>
      <c r="N291" s="20" t="inlineStr">
        <is>
          <t>Appium WebdriverIO</t>
        </is>
      </c>
    </row>
    <row r="292">
      <c r="A292" s="20" t="inlineStr">
        <is>
          <t>TC_PERF_004</t>
        </is>
      </c>
      <c r="B292" s="21" t="inlineStr">
        <is>
          <t>Performance, Network &amp; Edge Cases</t>
        </is>
      </c>
      <c r="C292" s="21" t="inlineStr">
        <is>
          <t>Offline DB</t>
        </is>
      </c>
      <c r="D292" s="21" t="inlineStr">
        <is>
          <t>Memory Usage Benchmark</t>
        </is>
      </c>
      <c r="E292" s="21" t="inlineStr">
        <is>
          <t>Verify Memory Usage Benchmark functionality on iOS Hybrid App - Case 4</t>
        </is>
      </c>
      <c r="F292" s="22" t="inlineStr">
        <is>
          <t>AgroVision web app running on iOS Hybrid App, User state initialized, Network connected.</t>
        </is>
      </c>
      <c r="G292" s="22" t="inlineStr">
        <is>
          <t>1. Launch browser on iOS Hybrid App
2. Navigate to /perf
3. Trigger action for Memory Usage Benchmark
4. Verify DOM element response &amp; mobile touch feedback.</t>
        </is>
      </c>
      <c r="H292" s="22" t="inlineStr">
        <is>
          <t>Memory Usage Benchmark renders correctly without breaking layout, updating state in &lt; 1.5s.</t>
        </is>
      </c>
      <c r="I292" s="22" t="inlineStr">
        <is>
          <t>Successfully verified Memory Usage Benchmark functionality on mobile viewport with expected UI state.</t>
        </is>
      </c>
      <c r="J292" s="23" t="inlineStr">
        <is>
          <t>PASS</t>
        </is>
      </c>
      <c r="K292" s="28" t="inlineStr">
        <is>
          <t>LOW</t>
        </is>
      </c>
      <c r="L292" s="20" t="n">
        <v>666</v>
      </c>
      <c r="M292" s="20" t="inlineStr">
        <is>
          <t>iOS Hybrid App</t>
        </is>
      </c>
      <c r="N292" s="20" t="inlineStr">
        <is>
          <t>Appium WebdriverIO</t>
        </is>
      </c>
    </row>
    <row r="293">
      <c r="A293" s="20" t="inlineStr">
        <is>
          <t>TC_PERF_005</t>
        </is>
      </c>
      <c r="B293" s="21" t="inlineStr">
        <is>
          <t>Performance, Network &amp; Edge Cases</t>
        </is>
      </c>
      <c r="C293" s="21" t="inlineStr">
        <is>
          <t>Performance</t>
        </is>
      </c>
      <c r="D293" s="21" t="inlineStr">
        <is>
          <t>Battery Saver Layout</t>
        </is>
      </c>
      <c r="E293" s="21" t="inlineStr">
        <is>
          <t>Verify Battery Saver Layout functionality on Android - Chrome - Case 5</t>
        </is>
      </c>
      <c r="F293" s="22" t="inlineStr">
        <is>
          <t>AgroVision web app running on Android - Chrome, User state initialized, Network connected.</t>
        </is>
      </c>
      <c r="G293" s="22" t="inlineStr">
        <is>
          <t>1. Launch browser on Android - Chrome
2. Navigate to /perf
3. Trigger action for Battery Saver Layout
4. Verify DOM element response &amp; mobile touch feedback.</t>
        </is>
      </c>
      <c r="H293" s="22" t="inlineStr">
        <is>
          <t>Battery Saver Layout renders correctly without breaking layout, updating state in &lt; 1.5s.</t>
        </is>
      </c>
      <c r="I293" s="22" t="inlineStr">
        <is>
          <t>Successfully verified Battery Saver Layout functionality on mobile viewport with expected UI state.</t>
        </is>
      </c>
      <c r="J293" s="23" t="inlineStr">
        <is>
          <t>PASS</t>
        </is>
      </c>
      <c r="K293" s="24" t="inlineStr">
        <is>
          <t>CRITICAL</t>
        </is>
      </c>
      <c r="L293" s="20" t="n">
        <v>697</v>
      </c>
      <c r="M293" s="20" t="inlineStr">
        <is>
          <t>Android - Chrome</t>
        </is>
      </c>
      <c r="N293" s="20" t="inlineStr">
        <is>
          <t>Appium WebdriverIO</t>
        </is>
      </c>
    </row>
    <row r="294">
      <c r="A294" s="20" t="inlineStr">
        <is>
          <t>TC_PERF_006</t>
        </is>
      </c>
      <c r="B294" s="21" t="inlineStr">
        <is>
          <t>Performance, Network &amp; Edge Cases</t>
        </is>
      </c>
      <c r="C294" s="21" t="inlineStr">
        <is>
          <t>Security</t>
        </is>
      </c>
      <c r="D294" s="21" t="inlineStr">
        <is>
          <t>Screen Resize Snap</t>
        </is>
      </c>
      <c r="E294" s="21" t="inlineStr">
        <is>
          <t>Verify Screen Resize Snap functionality on iOS - Safari - Case 6</t>
        </is>
      </c>
      <c r="F294" s="22" t="inlineStr">
        <is>
          <t>AgroVision web app running on iOS - Safari, User state initialized, Network connected.</t>
        </is>
      </c>
      <c r="G294" s="22" t="inlineStr">
        <is>
          <t>1. Launch browser on iOS - Safari
2. Navigate to /perf
3. Trigger action for Screen Resize Snap
4. Verify DOM element response &amp; mobile touch feedback.</t>
        </is>
      </c>
      <c r="H294" s="22" t="inlineStr">
        <is>
          <t>Screen Resize Snap renders correctly without breaking layout, updating state in &lt; 1.5s.</t>
        </is>
      </c>
      <c r="I294" s="22" t="inlineStr">
        <is>
          <t>Successfully verified Screen Resize Snap functionality on mobile viewport with expected UI state.</t>
        </is>
      </c>
      <c r="J294" s="23" t="inlineStr">
        <is>
          <t>PASS</t>
        </is>
      </c>
      <c r="K294" s="25" t="inlineStr">
        <is>
          <t>HIGH</t>
        </is>
      </c>
      <c r="L294" s="20" t="n">
        <v>999</v>
      </c>
      <c r="M294" s="20" t="inlineStr">
        <is>
          <t>iOS - Safari</t>
        </is>
      </c>
      <c r="N294" s="20" t="inlineStr">
        <is>
          <t>Appium WebdriverIO</t>
        </is>
      </c>
    </row>
    <row r="295">
      <c r="A295" s="20" t="inlineStr">
        <is>
          <t>TC_PERF_007</t>
        </is>
      </c>
      <c r="B295" s="21" t="inlineStr">
        <is>
          <t>Performance, Network &amp; Edge Cases</t>
        </is>
      </c>
      <c r="C295" s="21" t="inlineStr">
        <is>
          <t>Accessibility</t>
        </is>
      </c>
      <c r="D295" s="21" t="inlineStr">
        <is>
          <t>Session Expiry</t>
        </is>
      </c>
      <c r="E295" s="21" t="inlineStr">
        <is>
          <t>Verify Session Expiry functionality on Android Native Webview - Case 7</t>
        </is>
      </c>
      <c r="F295" s="22" t="inlineStr">
        <is>
          <t>AgroVision web app running on Android Native Webview, User state initialized, Network connected.</t>
        </is>
      </c>
      <c r="G295" s="22" t="inlineStr">
        <is>
          <t>1. Launch browser on Android Native Webview
2. Navigate to /perf
3. Trigger action for Session Expiry
4. Verify DOM element response &amp; mobile touch feedback.</t>
        </is>
      </c>
      <c r="H295" s="22" t="inlineStr">
        <is>
          <t>Session Expiry renders correctly without breaking layout, updating state in &lt; 1.5s.</t>
        </is>
      </c>
      <c r="I295" s="22" t="inlineStr">
        <is>
          <t>Successfully verified Session Expiry functionality on mobile viewport with expected UI state.</t>
        </is>
      </c>
      <c r="J295" s="23" t="inlineStr">
        <is>
          <t>PASS</t>
        </is>
      </c>
      <c r="K295" s="27" t="inlineStr">
        <is>
          <t>MEDIUM</t>
        </is>
      </c>
      <c r="L295" s="20" t="n">
        <v>898</v>
      </c>
      <c r="M295" s="20" t="inlineStr">
        <is>
          <t>Android Native Webview</t>
        </is>
      </c>
      <c r="N295" s="20" t="inlineStr">
        <is>
          <t>Appium WebdriverIO</t>
        </is>
      </c>
    </row>
    <row r="296">
      <c r="A296" s="20" t="inlineStr">
        <is>
          <t>TC_PERF_008</t>
        </is>
      </c>
      <c r="B296" s="21" t="inlineStr">
        <is>
          <t>Performance, Network &amp; Edge Cases</t>
        </is>
      </c>
      <c r="C296" s="21" t="inlineStr">
        <is>
          <t>Functional</t>
        </is>
      </c>
      <c r="D296" s="21" t="inlineStr">
        <is>
          <t>Offline Network Mode</t>
        </is>
      </c>
      <c r="E296" s="21" t="inlineStr">
        <is>
          <t>Verify Offline Network Mode functionality on iOS Hybrid App - Case 8</t>
        </is>
      </c>
      <c r="F296" s="22" t="inlineStr">
        <is>
          <t>AgroVision web app running on iOS Hybrid App, User state initialized, Network connected.</t>
        </is>
      </c>
      <c r="G296" s="22" t="inlineStr">
        <is>
          <t>1. Launch browser on iOS Hybrid App
2. Navigate to /perf
3. Trigger action for Offline Network Mode
4. Verify DOM element response &amp; mobile touch feedback.</t>
        </is>
      </c>
      <c r="H296" s="22" t="inlineStr">
        <is>
          <t>Offline Network Mode renders correctly without breaking layout, updating state in &lt; 1.5s.</t>
        </is>
      </c>
      <c r="I296" s="22" t="inlineStr">
        <is>
          <t>Successfully verified Offline Network Mode functionality on mobile viewport with expected UI state.</t>
        </is>
      </c>
      <c r="J296" s="23" t="inlineStr">
        <is>
          <t>PASS</t>
        </is>
      </c>
      <c r="K296" s="28" t="inlineStr">
        <is>
          <t>LOW</t>
        </is>
      </c>
      <c r="L296" s="20" t="n">
        <v>845</v>
      </c>
      <c r="M296" s="20" t="inlineStr">
        <is>
          <t>iOS Hybrid App</t>
        </is>
      </c>
      <c r="N296" s="20" t="inlineStr">
        <is>
          <t>Appium WebdriverIO</t>
        </is>
      </c>
    </row>
    <row r="297">
      <c r="A297" s="20" t="inlineStr">
        <is>
          <t>TC_PERF_009</t>
        </is>
      </c>
      <c r="B297" s="21" t="inlineStr">
        <is>
          <t>Performance, Network &amp; Edge Cases</t>
        </is>
      </c>
      <c r="C297" s="21" t="inlineStr">
        <is>
          <t>UI Layout</t>
        </is>
      </c>
      <c r="D297" s="21" t="inlineStr">
        <is>
          <t>Low Bandwidth 3G</t>
        </is>
      </c>
      <c r="E297" s="21" t="inlineStr">
        <is>
          <t>Verify Low Bandwidth 3G functionality on Android - Chrome - Case 9</t>
        </is>
      </c>
      <c r="F297" s="22" t="inlineStr">
        <is>
          <t>AgroVision web app running on Android - Chrome, User state initialized, Network connected.</t>
        </is>
      </c>
      <c r="G297" s="22" t="inlineStr">
        <is>
          <t>1. Launch browser on Android - Chrome
2. Navigate to /perf
3. Trigger action for Low Bandwidth 3G
4. Verify DOM element response &amp; mobile touch feedback.</t>
        </is>
      </c>
      <c r="H297" s="22" t="inlineStr">
        <is>
          <t>Low Bandwidth 3G renders correctly without breaking layout, updating state in &lt; 1.5s.</t>
        </is>
      </c>
      <c r="I297" s="22" t="inlineStr">
        <is>
          <t>Successfully verified Low Bandwidth 3G functionality on mobile viewport with expected UI state.</t>
        </is>
      </c>
      <c r="J297" s="23" t="inlineStr">
        <is>
          <t>PASS</t>
        </is>
      </c>
      <c r="K297" s="24" t="inlineStr">
        <is>
          <t>CRITICAL</t>
        </is>
      </c>
      <c r="L297" s="20" t="n">
        <v>1564</v>
      </c>
      <c r="M297" s="20" t="inlineStr">
        <is>
          <t>Android - Chrome</t>
        </is>
      </c>
      <c r="N297" s="20" t="inlineStr">
        <is>
          <t>Appium WebdriverIO</t>
        </is>
      </c>
    </row>
    <row r="298">
      <c r="A298" s="20" t="inlineStr">
        <is>
          <t>TC_PERF_010</t>
        </is>
      </c>
      <c r="B298" s="21" t="inlineStr">
        <is>
          <t>Performance, Network &amp; Edge Cases</t>
        </is>
      </c>
      <c r="C298" s="21" t="inlineStr">
        <is>
          <t>Touch Gesture</t>
        </is>
      </c>
      <c r="D298" s="21" t="inlineStr">
        <is>
          <t>Large Image Compression</t>
        </is>
      </c>
      <c r="E298" s="21" t="inlineStr">
        <is>
          <t>Verify Large Image Compression functionality on iOS - Safari - Case 10</t>
        </is>
      </c>
      <c r="F298" s="22" t="inlineStr">
        <is>
          <t>AgroVision web app running on iOS - Safari, User state initialized, Network connected.</t>
        </is>
      </c>
      <c r="G298" s="22" t="inlineStr">
        <is>
          <t>1. Launch browser on iOS - Safari
2. Navigate to /perf
3. Trigger action for Large Image Compression
4. Verify DOM element response &amp; mobile touch feedback.</t>
        </is>
      </c>
      <c r="H298" s="22" t="inlineStr">
        <is>
          <t>Large Image Compression renders correctly without breaking layout, updating state in &lt; 1.5s.</t>
        </is>
      </c>
      <c r="I298" s="22" t="inlineStr">
        <is>
          <t>Successfully verified Large Image Compression functionality on mobile viewport with expected UI state.</t>
        </is>
      </c>
      <c r="J298" s="23" t="inlineStr">
        <is>
          <t>PASS</t>
        </is>
      </c>
      <c r="K298" s="25" t="inlineStr">
        <is>
          <t>HIGH</t>
        </is>
      </c>
      <c r="L298" s="20" t="n">
        <v>1176</v>
      </c>
      <c r="M298" s="20" t="inlineStr">
        <is>
          <t>iOS - Safari</t>
        </is>
      </c>
      <c r="N298" s="20" t="inlineStr">
        <is>
          <t>Appium WebdriverIO</t>
        </is>
      </c>
    </row>
    <row r="299">
      <c r="A299" s="20" t="inlineStr">
        <is>
          <t>TC_PERF_011</t>
        </is>
      </c>
      <c r="B299" s="21" t="inlineStr">
        <is>
          <t>Performance, Network &amp; Edge Cases</t>
        </is>
      </c>
      <c r="C299" s="21" t="inlineStr">
        <is>
          <t>Offline DB</t>
        </is>
      </c>
      <c r="D299" s="21" t="inlineStr">
        <is>
          <t>Memory Usage Benchmark</t>
        </is>
      </c>
      <c r="E299" s="21" t="inlineStr">
        <is>
          <t>Verify Memory Usage Benchmark functionality on Android Native Webview - Case 11</t>
        </is>
      </c>
      <c r="F299" s="22" t="inlineStr">
        <is>
          <t>AgroVision web app running on Android Native Webview, User state initialized, Network connected.</t>
        </is>
      </c>
      <c r="G299" s="22" t="inlineStr">
        <is>
          <t>1. Launch browser on Android Native Webview
2. Navigate to /perf
3. Trigger action for Memory Usage Benchmark
4. Verify DOM element response &amp; mobile touch feedback.</t>
        </is>
      </c>
      <c r="H299" s="22" t="inlineStr">
        <is>
          <t>Memory Usage Benchmark renders correctly without breaking layout, updating state in &lt; 1.5s.</t>
        </is>
      </c>
      <c r="I299" s="22" t="inlineStr">
        <is>
          <t>Successfully verified Memory Usage Benchmark functionality on mobile viewport with expected UI state.</t>
        </is>
      </c>
      <c r="J299" s="23" t="inlineStr">
        <is>
          <t>PASS</t>
        </is>
      </c>
      <c r="K299" s="27" t="inlineStr">
        <is>
          <t>MEDIUM</t>
        </is>
      </c>
      <c r="L299" s="20" t="n">
        <v>612</v>
      </c>
      <c r="M299" s="20" t="inlineStr">
        <is>
          <t>Android Native Webview</t>
        </is>
      </c>
      <c r="N299" s="20" t="inlineStr">
        <is>
          <t>Appium WebdriverIO</t>
        </is>
      </c>
    </row>
    <row r="300">
      <c r="A300" s="20" t="inlineStr">
        <is>
          <t>TC_PERF_012</t>
        </is>
      </c>
      <c r="B300" s="21" t="inlineStr">
        <is>
          <t>Performance, Network &amp; Edge Cases</t>
        </is>
      </c>
      <c r="C300" s="21" t="inlineStr">
        <is>
          <t>Performance</t>
        </is>
      </c>
      <c r="D300" s="21" t="inlineStr">
        <is>
          <t>Battery Saver Layout</t>
        </is>
      </c>
      <c r="E300" s="21" t="inlineStr">
        <is>
          <t>Verify Battery Saver Layout functionality on iOS Hybrid App - Case 12</t>
        </is>
      </c>
      <c r="F300" s="22" t="inlineStr">
        <is>
          <t>AgroVision web app running on iOS Hybrid App, User state initialized, Network connected.</t>
        </is>
      </c>
      <c r="G300" s="22" t="inlineStr">
        <is>
          <t>1. Launch browser on iOS Hybrid App
2. Navigate to /perf
3. Trigger action for Battery Saver Layout
4. Verify DOM element response &amp; mobile touch feedback.</t>
        </is>
      </c>
      <c r="H300" s="22" t="inlineStr">
        <is>
          <t>Battery Saver Layout renders correctly without breaking layout, updating state in &lt; 1.5s.</t>
        </is>
      </c>
      <c r="I300" s="22" t="inlineStr">
        <is>
          <t>Successfully verified Battery Saver Layout functionality on mobile viewport with expected UI state.</t>
        </is>
      </c>
      <c r="J300" s="23" t="inlineStr">
        <is>
          <t>PASS</t>
        </is>
      </c>
      <c r="K300" s="28" t="inlineStr">
        <is>
          <t>LOW</t>
        </is>
      </c>
      <c r="L300" s="20" t="n">
        <v>1375</v>
      </c>
      <c r="M300" s="20" t="inlineStr">
        <is>
          <t>iOS Hybrid App</t>
        </is>
      </c>
      <c r="N300" s="20" t="inlineStr">
        <is>
          <t>Appium WebdriverIO</t>
        </is>
      </c>
    </row>
    <row r="301">
      <c r="A301" s="20" t="inlineStr">
        <is>
          <t>TC_PERF_013</t>
        </is>
      </c>
      <c r="B301" s="21" t="inlineStr">
        <is>
          <t>Performance, Network &amp; Edge Cases</t>
        </is>
      </c>
      <c r="C301" s="21" t="inlineStr">
        <is>
          <t>Security</t>
        </is>
      </c>
      <c r="D301" s="21" t="inlineStr">
        <is>
          <t>Screen Resize Snap</t>
        </is>
      </c>
      <c r="E301" s="21" t="inlineStr">
        <is>
          <t>Verify Screen Resize Snap functionality on Android - Chrome - Case 13</t>
        </is>
      </c>
      <c r="F301" s="22" t="inlineStr">
        <is>
          <t>AgroVision web app running on Android - Chrome, User state initialized, Network connected.</t>
        </is>
      </c>
      <c r="G301" s="22" t="inlineStr">
        <is>
          <t>1. Launch browser on Android - Chrome
2. Navigate to /perf
3. Trigger action for Screen Resize Snap
4. Verify DOM element response &amp; mobile touch feedback.</t>
        </is>
      </c>
      <c r="H301" s="22" t="inlineStr">
        <is>
          <t>Screen Resize Snap renders correctly without breaking layout, updating state in &lt; 1.5s.</t>
        </is>
      </c>
      <c r="I301" s="22" t="inlineStr">
        <is>
          <t>Successfully verified Screen Resize Snap functionality on mobile viewport with expected UI state.</t>
        </is>
      </c>
      <c r="J301" s="23" t="inlineStr">
        <is>
          <t>PASS</t>
        </is>
      </c>
      <c r="K301" s="24" t="inlineStr">
        <is>
          <t>CRITICAL</t>
        </is>
      </c>
      <c r="L301" s="20" t="n">
        <v>1334</v>
      </c>
      <c r="M301" s="20" t="inlineStr">
        <is>
          <t>Android - Chrome</t>
        </is>
      </c>
      <c r="N301" s="20" t="inlineStr">
        <is>
          <t>Appium WebdriverIO</t>
        </is>
      </c>
    </row>
    <row r="302">
      <c r="A302" s="20" t="inlineStr">
        <is>
          <t>TC_PERF_014</t>
        </is>
      </c>
      <c r="B302" s="21" t="inlineStr">
        <is>
          <t>Performance, Network &amp; Edge Cases</t>
        </is>
      </c>
      <c r="C302" s="21" t="inlineStr">
        <is>
          <t>Accessibility</t>
        </is>
      </c>
      <c r="D302" s="21" t="inlineStr">
        <is>
          <t>Session Expiry</t>
        </is>
      </c>
      <c r="E302" s="21" t="inlineStr">
        <is>
          <t>Verify Session Expiry functionality on iOS - Safari - Case 14</t>
        </is>
      </c>
      <c r="F302" s="22" t="inlineStr">
        <is>
          <t>AgroVision web app running on iOS - Safari, User state initialized, Network connected.</t>
        </is>
      </c>
      <c r="G302" s="22" t="inlineStr">
        <is>
          <t>1. Launch browser on iOS - Safari
2. Navigate to /perf
3. Trigger action for Session Expiry
4. Verify DOM element response &amp; mobile touch feedback.</t>
        </is>
      </c>
      <c r="H302" s="22" t="inlineStr">
        <is>
          <t>Session Expiry renders correctly without breaking layout, updating state in &lt; 1.5s.</t>
        </is>
      </c>
      <c r="I302" s="22" t="inlineStr">
        <is>
          <t>Test skipped due to simulated network timeout policy in staging.</t>
        </is>
      </c>
      <c r="J302" s="29" t="inlineStr">
        <is>
          <t>SKIP</t>
        </is>
      </c>
      <c r="K302" s="25" t="inlineStr">
        <is>
          <t>HIGH</t>
        </is>
      </c>
      <c r="L302" s="20" t="n">
        <v>1233</v>
      </c>
      <c r="M302" s="20" t="inlineStr">
        <is>
          <t>iOS - Safari</t>
        </is>
      </c>
      <c r="N302" s="20" t="inlineStr">
        <is>
          <t>Appium WebdriverIO</t>
        </is>
      </c>
    </row>
    <row r="303">
      <c r="A303" s="20" t="inlineStr">
        <is>
          <t>TC_PERF_015</t>
        </is>
      </c>
      <c r="B303" s="21" t="inlineStr">
        <is>
          <t>Performance, Network &amp; Edge Cases</t>
        </is>
      </c>
      <c r="C303" s="21" t="inlineStr">
        <is>
          <t>Functional</t>
        </is>
      </c>
      <c r="D303" s="21" t="inlineStr">
        <is>
          <t>Offline Network Mode</t>
        </is>
      </c>
      <c r="E303" s="21" t="inlineStr">
        <is>
          <t>Verify Offline Network Mode functionality on Android Native Webview - Case 15</t>
        </is>
      </c>
      <c r="F303" s="22" t="inlineStr">
        <is>
          <t>AgroVision web app running on Android Native Webview, User state initialized, Network connected.</t>
        </is>
      </c>
      <c r="G303" s="22" t="inlineStr">
        <is>
          <t>1. Launch browser on Android Native Webview
2. Navigate to /perf
3. Trigger action for Offline Network Mode
4. Verify DOM element response &amp; mobile touch feedback.</t>
        </is>
      </c>
      <c r="H303" s="22" t="inlineStr">
        <is>
          <t>Offline Network Mode renders correctly without breaking layout, updating state in &lt; 1.5s.</t>
        </is>
      </c>
      <c r="I303" s="22" t="inlineStr">
        <is>
          <t>Successfully verified Offline Network Mode functionality on mobile viewport with expected UI state.</t>
        </is>
      </c>
      <c r="J303" s="23" t="inlineStr">
        <is>
          <t>PASS</t>
        </is>
      </c>
      <c r="K303" s="27" t="inlineStr">
        <is>
          <t>MEDIUM</t>
        </is>
      </c>
      <c r="L303" s="20" t="n">
        <v>539</v>
      </c>
      <c r="M303" s="20" t="inlineStr">
        <is>
          <t>Android Native Webview</t>
        </is>
      </c>
      <c r="N303" s="20" t="inlineStr">
        <is>
          <t>Appium WebdriverIO</t>
        </is>
      </c>
    </row>
    <row r="304">
      <c r="A304" s="20" t="inlineStr">
        <is>
          <t>TC_PERF_016</t>
        </is>
      </c>
      <c r="B304" s="21" t="inlineStr">
        <is>
          <t>Performance, Network &amp; Edge Cases</t>
        </is>
      </c>
      <c r="C304" s="21" t="inlineStr">
        <is>
          <t>UI Layout</t>
        </is>
      </c>
      <c r="D304" s="21" t="inlineStr">
        <is>
          <t>Low Bandwidth 3G</t>
        </is>
      </c>
      <c r="E304" s="21" t="inlineStr">
        <is>
          <t>Verify Low Bandwidth 3G functionality on iOS Hybrid App - Case 16</t>
        </is>
      </c>
      <c r="F304" s="22" t="inlineStr">
        <is>
          <t>AgroVision web app running on iOS Hybrid App, User state initialized, Network connected.</t>
        </is>
      </c>
      <c r="G304" s="22" t="inlineStr">
        <is>
          <t>1. Launch browser on iOS Hybrid App
2. Navigate to /perf
3. Trigger action for Low Bandwidth 3G
4. Verify DOM element response &amp; mobile touch feedback.</t>
        </is>
      </c>
      <c r="H304" s="22" t="inlineStr">
        <is>
          <t>Low Bandwidth 3G renders correctly without breaking layout, updating state in &lt; 1.5s.</t>
        </is>
      </c>
      <c r="I304" s="22" t="inlineStr">
        <is>
          <t>Successfully verified Low Bandwidth 3G functionality on mobile viewport with expected UI state.</t>
        </is>
      </c>
      <c r="J304" s="23" t="inlineStr">
        <is>
          <t>PASS</t>
        </is>
      </c>
      <c r="K304" s="28" t="inlineStr">
        <is>
          <t>LOW</t>
        </is>
      </c>
      <c r="L304" s="20" t="n">
        <v>466</v>
      </c>
      <c r="M304" s="20" t="inlineStr">
        <is>
          <t>iOS Hybrid App</t>
        </is>
      </c>
      <c r="N304" s="20" t="inlineStr">
        <is>
          <t>Appium WebdriverIO</t>
        </is>
      </c>
    </row>
    <row r="305">
      <c r="A305" s="20" t="inlineStr">
        <is>
          <t>TC_PERF_017</t>
        </is>
      </c>
      <c r="B305" s="21" t="inlineStr">
        <is>
          <t>Performance, Network &amp; Edge Cases</t>
        </is>
      </c>
      <c r="C305" s="21" t="inlineStr">
        <is>
          <t>Touch Gesture</t>
        </is>
      </c>
      <c r="D305" s="21" t="inlineStr">
        <is>
          <t>Large Image Compression</t>
        </is>
      </c>
      <c r="E305" s="21" t="inlineStr">
        <is>
          <t>Verify Large Image Compression functionality on Android - Chrome - Case 17</t>
        </is>
      </c>
      <c r="F305" s="22" t="inlineStr">
        <is>
          <t>AgroVision web app running on Android - Chrome, User state initialized, Network connected.</t>
        </is>
      </c>
      <c r="G305" s="22" t="inlineStr">
        <is>
          <t>1. Launch browser on Android - Chrome
2. Navigate to /perf
3. Trigger action for Large Image Compression
4. Verify DOM element response &amp; mobile touch feedback.</t>
        </is>
      </c>
      <c r="H305" s="22" t="inlineStr">
        <is>
          <t>Large Image Compression renders correctly without breaking layout, updating state in &lt; 1.5s.</t>
        </is>
      </c>
      <c r="I305" s="22" t="inlineStr">
        <is>
          <t>Successfully verified Large Image Compression functionality on mobile viewport with expected UI state.</t>
        </is>
      </c>
      <c r="J305" s="23" t="inlineStr">
        <is>
          <t>PASS</t>
        </is>
      </c>
      <c r="K305" s="24" t="inlineStr">
        <is>
          <t>CRITICAL</t>
        </is>
      </c>
      <c r="L305" s="20" t="n">
        <v>994</v>
      </c>
      <c r="M305" s="20" t="inlineStr">
        <is>
          <t>Android - Chrome</t>
        </is>
      </c>
      <c r="N305" s="20" t="inlineStr">
        <is>
          <t>Appium WebdriverIO</t>
        </is>
      </c>
    </row>
    <row r="306">
      <c r="A306" s="20" t="inlineStr">
        <is>
          <t>TC_PERF_018</t>
        </is>
      </c>
      <c r="B306" s="21" t="inlineStr">
        <is>
          <t>Performance, Network &amp; Edge Cases</t>
        </is>
      </c>
      <c r="C306" s="21" t="inlineStr">
        <is>
          <t>Offline DB</t>
        </is>
      </c>
      <c r="D306" s="21" t="inlineStr">
        <is>
          <t>Memory Usage Benchmark</t>
        </is>
      </c>
      <c r="E306" s="21" t="inlineStr">
        <is>
          <t>Verify Memory Usage Benchmark functionality on iOS - Safari - Case 18</t>
        </is>
      </c>
      <c r="F306" s="22" t="inlineStr">
        <is>
          <t>AgroVision web app running on iOS - Safari, User state initialized, Network connected.</t>
        </is>
      </c>
      <c r="G306" s="22" t="inlineStr">
        <is>
          <t>1. Launch browser on iOS - Safari
2. Navigate to /perf
3. Trigger action for Memory Usage Benchmark
4. Verify DOM element response &amp; mobile touch feedback.</t>
        </is>
      </c>
      <c r="H306" s="22" t="inlineStr">
        <is>
          <t>Memory Usage Benchmark renders correctly without breaking layout, updating state in &lt; 1.5s.</t>
        </is>
      </c>
      <c r="I306" s="22" t="inlineStr">
        <is>
          <t>Successfully verified Memory Usage Benchmark functionality on mobile viewport with expected UI state.</t>
        </is>
      </c>
      <c r="J306" s="23" t="inlineStr">
        <is>
          <t>PASS</t>
        </is>
      </c>
      <c r="K306" s="25" t="inlineStr">
        <is>
          <t>HIGH</t>
        </is>
      </c>
      <c r="L306" s="20" t="n">
        <v>1592</v>
      </c>
      <c r="M306" s="20" t="inlineStr">
        <is>
          <t>iOS - Safari</t>
        </is>
      </c>
      <c r="N306" s="20" t="inlineStr">
        <is>
          <t>Appium WebdriverIO</t>
        </is>
      </c>
    </row>
    <row r="307">
      <c r="A307" s="20" t="inlineStr">
        <is>
          <t>TC_PERF_019</t>
        </is>
      </c>
      <c r="B307" s="21" t="inlineStr">
        <is>
          <t>Performance, Network &amp; Edge Cases</t>
        </is>
      </c>
      <c r="C307" s="21" t="inlineStr">
        <is>
          <t>Performance</t>
        </is>
      </c>
      <c r="D307" s="21" t="inlineStr">
        <is>
          <t>Battery Saver Layout</t>
        </is>
      </c>
      <c r="E307" s="21" t="inlineStr">
        <is>
          <t>Verify Battery Saver Layout functionality on Android Native Webview - Case 19</t>
        </is>
      </c>
      <c r="F307" s="22" t="inlineStr">
        <is>
          <t>AgroVision web app running on Android Native Webview, User state initialized, Network connected.</t>
        </is>
      </c>
      <c r="G307" s="22" t="inlineStr">
        <is>
          <t>1. Launch browser on Android Native Webview
2. Navigate to /perf
3. Trigger action for Battery Saver Layout
4. Verify DOM element response &amp; mobile touch feedback.</t>
        </is>
      </c>
      <c r="H307" s="22" t="inlineStr">
        <is>
          <t>Battery Saver Layout renders correctly without breaking layout, updating state in &lt; 1.5s.</t>
        </is>
      </c>
      <c r="I307" s="22" t="inlineStr">
        <is>
          <t>Touch gesture response delayed (&gt;1500ms) on Battery Saver Layout during low memory state.</t>
        </is>
      </c>
      <c r="J307" s="26" t="inlineStr">
        <is>
          <t>FAIL</t>
        </is>
      </c>
      <c r="K307" s="27" t="inlineStr">
        <is>
          <t>MEDIUM</t>
        </is>
      </c>
      <c r="L307" s="20" t="n">
        <v>343</v>
      </c>
      <c r="M307" s="20" t="inlineStr">
        <is>
          <t>Android Native Webview</t>
        </is>
      </c>
      <c r="N307" s="20" t="inlineStr">
        <is>
          <t>Appium WebdriverIO</t>
        </is>
      </c>
    </row>
    <row r="308">
      <c r="A308" s="20" t="inlineStr">
        <is>
          <t>TC_PERF_020</t>
        </is>
      </c>
      <c r="B308" s="21" t="inlineStr">
        <is>
          <t>Performance, Network &amp; Edge Cases</t>
        </is>
      </c>
      <c r="C308" s="21" t="inlineStr">
        <is>
          <t>Security</t>
        </is>
      </c>
      <c r="D308" s="21" t="inlineStr">
        <is>
          <t>Screen Resize Snap</t>
        </is>
      </c>
      <c r="E308" s="21" t="inlineStr">
        <is>
          <t>Verify Screen Resize Snap functionality on iOS Hybrid App - Case 20</t>
        </is>
      </c>
      <c r="F308" s="22" t="inlineStr">
        <is>
          <t>AgroVision web app running on iOS Hybrid App, User state initialized, Network connected.</t>
        </is>
      </c>
      <c r="G308" s="22" t="inlineStr">
        <is>
          <t>1. Launch browser on iOS Hybrid App
2. Navigate to /perf
3. Trigger action for Screen Resize Snap
4. Verify DOM element response &amp; mobile touch feedback.</t>
        </is>
      </c>
      <c r="H308" s="22" t="inlineStr">
        <is>
          <t>Screen Resize Snap renders correctly without breaking layout, updating state in &lt; 1.5s.</t>
        </is>
      </c>
      <c r="I308" s="22" t="inlineStr">
        <is>
          <t>Successfully verified Screen Resize Snap functionality on mobile viewport with expected UI state.</t>
        </is>
      </c>
      <c r="J308" s="23" t="inlineStr">
        <is>
          <t>PASS</t>
        </is>
      </c>
      <c r="K308" s="28" t="inlineStr">
        <is>
          <t>LOW</t>
        </is>
      </c>
      <c r="L308" s="20" t="n">
        <v>1602</v>
      </c>
      <c r="M308" s="20" t="inlineStr">
        <is>
          <t>iOS Hybrid App</t>
        </is>
      </c>
      <c r="N308" s="20" t="inlineStr">
        <is>
          <t>Appium WebdriverIO</t>
        </is>
      </c>
    </row>
    <row r="309">
      <c r="A309" s="20" t="inlineStr">
        <is>
          <t>TC_PERF_021</t>
        </is>
      </c>
      <c r="B309" s="21" t="inlineStr">
        <is>
          <t>Performance, Network &amp; Edge Cases</t>
        </is>
      </c>
      <c r="C309" s="21" t="inlineStr">
        <is>
          <t>Accessibility</t>
        </is>
      </c>
      <c r="D309" s="21" t="inlineStr">
        <is>
          <t>Session Expiry</t>
        </is>
      </c>
      <c r="E309" s="21" t="inlineStr">
        <is>
          <t>Verify Session Expiry functionality on Android - Chrome - Case 21</t>
        </is>
      </c>
      <c r="F309" s="22" t="inlineStr">
        <is>
          <t>AgroVision web app running on Android - Chrome, User state initialized, Network connected.</t>
        </is>
      </c>
      <c r="G309" s="22" t="inlineStr">
        <is>
          <t>1. Launch browser on Android - Chrome
2. Navigate to /perf
3. Trigger action for Session Expiry
4. Verify DOM element response &amp; mobile touch feedback.</t>
        </is>
      </c>
      <c r="H309" s="22" t="inlineStr">
        <is>
          <t>Session Expiry renders correctly without breaking layout, updating state in &lt; 1.5s.</t>
        </is>
      </c>
      <c r="I309" s="22" t="inlineStr">
        <is>
          <t>Successfully verified Session Expiry functionality on mobile viewport with expected UI state.</t>
        </is>
      </c>
      <c r="J309" s="23" t="inlineStr">
        <is>
          <t>PASS</t>
        </is>
      </c>
      <c r="K309" s="24" t="inlineStr">
        <is>
          <t>CRITICAL</t>
        </is>
      </c>
      <c r="L309" s="20" t="n">
        <v>605</v>
      </c>
      <c r="M309" s="20" t="inlineStr">
        <is>
          <t>Android - Chrome</t>
        </is>
      </c>
      <c r="N309" s="20" t="inlineStr">
        <is>
          <t>Appium WebdriverIO</t>
        </is>
      </c>
    </row>
    <row r="310">
      <c r="A310" s="20" t="inlineStr">
        <is>
          <t>TC_PERF_022</t>
        </is>
      </c>
      <c r="B310" s="21" t="inlineStr">
        <is>
          <t>Performance, Network &amp; Edge Cases</t>
        </is>
      </c>
      <c r="C310" s="21" t="inlineStr">
        <is>
          <t>Functional</t>
        </is>
      </c>
      <c r="D310" s="21" t="inlineStr">
        <is>
          <t>Offline Network Mode</t>
        </is>
      </c>
      <c r="E310" s="21" t="inlineStr">
        <is>
          <t>Verify Offline Network Mode functionality on iOS - Safari - Case 22</t>
        </is>
      </c>
      <c r="F310" s="22" t="inlineStr">
        <is>
          <t>AgroVision web app running on iOS - Safari, User state initialized, Network connected.</t>
        </is>
      </c>
      <c r="G310" s="22" t="inlineStr">
        <is>
          <t>1. Launch browser on iOS - Safari
2. Navigate to /perf
3. Trigger action for Offline Network Mode
4. Verify DOM element response &amp; mobile touch feedback.</t>
        </is>
      </c>
      <c r="H310" s="22" t="inlineStr">
        <is>
          <t>Offline Network Mode renders correctly without breaking layout, updating state in &lt; 1.5s.</t>
        </is>
      </c>
      <c r="I310" s="22" t="inlineStr">
        <is>
          <t>Successfully verified Offline Network Mode functionality on mobile viewport with expected UI state.</t>
        </is>
      </c>
      <c r="J310" s="23" t="inlineStr">
        <is>
          <t>PASS</t>
        </is>
      </c>
      <c r="K310" s="25" t="inlineStr">
        <is>
          <t>HIGH</t>
        </is>
      </c>
      <c r="L310" s="20" t="n">
        <v>1522</v>
      </c>
      <c r="M310" s="20" t="inlineStr">
        <is>
          <t>iOS - Safari</t>
        </is>
      </c>
      <c r="N310" s="20" t="inlineStr">
        <is>
          <t>Appium WebdriverIO</t>
        </is>
      </c>
    </row>
    <row r="311">
      <c r="A311" s="20" t="inlineStr">
        <is>
          <t>TC_PERF_023</t>
        </is>
      </c>
      <c r="B311" s="21" t="inlineStr">
        <is>
          <t>Performance, Network &amp; Edge Cases</t>
        </is>
      </c>
      <c r="C311" s="21" t="inlineStr">
        <is>
          <t>UI Layout</t>
        </is>
      </c>
      <c r="D311" s="21" t="inlineStr">
        <is>
          <t>Low Bandwidth 3G</t>
        </is>
      </c>
      <c r="E311" s="21" t="inlineStr">
        <is>
          <t>Verify Low Bandwidth 3G functionality on Android Native Webview - Case 23</t>
        </is>
      </c>
      <c r="F311" s="22" t="inlineStr">
        <is>
          <t>AgroVision web app running on Android Native Webview, User state initialized, Network connected.</t>
        </is>
      </c>
      <c r="G311" s="22" t="inlineStr">
        <is>
          <t>1. Launch browser on Android Native Webview
2. Navigate to /perf
3. Trigger action for Low Bandwidth 3G
4. Verify DOM element response &amp; mobile touch feedback.</t>
        </is>
      </c>
      <c r="H311" s="22" t="inlineStr">
        <is>
          <t>Low Bandwidth 3G renders correctly without breaking layout, updating state in &lt; 1.5s.</t>
        </is>
      </c>
      <c r="I311" s="22" t="inlineStr">
        <is>
          <t>Successfully verified Low Bandwidth 3G functionality on mobile viewport with expected UI state.</t>
        </is>
      </c>
      <c r="J311" s="23" t="inlineStr">
        <is>
          <t>PASS</t>
        </is>
      </c>
      <c r="K311" s="27" t="inlineStr">
        <is>
          <t>MEDIUM</t>
        </is>
      </c>
      <c r="L311" s="20" t="n">
        <v>789</v>
      </c>
      <c r="M311" s="20" t="inlineStr">
        <is>
          <t>Android Native Webview</t>
        </is>
      </c>
      <c r="N311" s="20" t="inlineStr">
        <is>
          <t>Appium WebdriverIO</t>
        </is>
      </c>
    </row>
    <row r="312">
      <c r="A312" s="20" t="inlineStr">
        <is>
          <t>TC_PERF_024</t>
        </is>
      </c>
      <c r="B312" s="21" t="inlineStr">
        <is>
          <t>Performance, Network &amp; Edge Cases</t>
        </is>
      </c>
      <c r="C312" s="21" t="inlineStr">
        <is>
          <t>Touch Gesture</t>
        </is>
      </c>
      <c r="D312" s="21" t="inlineStr">
        <is>
          <t>Large Image Compression</t>
        </is>
      </c>
      <c r="E312" s="21" t="inlineStr">
        <is>
          <t>Verify Large Image Compression functionality on iOS Hybrid App - Case 24</t>
        </is>
      </c>
      <c r="F312" s="22" t="inlineStr">
        <is>
          <t>AgroVision web app running on iOS Hybrid App, User state initialized, Network connected.</t>
        </is>
      </c>
      <c r="G312" s="22" t="inlineStr">
        <is>
          <t>1. Launch browser on iOS Hybrid App
2. Navigate to /perf
3. Trigger action for Large Image Compression
4. Verify DOM element response &amp; mobile touch feedback.</t>
        </is>
      </c>
      <c r="H312" s="22" t="inlineStr">
        <is>
          <t>Large Image Compression renders correctly without breaking layout, updating state in &lt; 1.5s.</t>
        </is>
      </c>
      <c r="I312" s="22" t="inlineStr">
        <is>
          <t>Successfully verified Large Image Compression functionality on mobile viewport with expected UI state.</t>
        </is>
      </c>
      <c r="J312" s="23" t="inlineStr">
        <is>
          <t>PASS</t>
        </is>
      </c>
      <c r="K312" s="28" t="inlineStr">
        <is>
          <t>LOW</t>
        </is>
      </c>
      <c r="L312" s="20" t="n">
        <v>825</v>
      </c>
      <c r="M312" s="20" t="inlineStr">
        <is>
          <t>iOS Hybrid App</t>
        </is>
      </c>
      <c r="N312" s="20" t="inlineStr">
        <is>
          <t>Appium WebdriverIO</t>
        </is>
      </c>
    </row>
    <row r="313">
      <c r="A313" s="20" t="inlineStr">
        <is>
          <t>TC_PERF_025</t>
        </is>
      </c>
      <c r="B313" s="21" t="inlineStr">
        <is>
          <t>Performance, Network &amp; Edge Cases</t>
        </is>
      </c>
      <c r="C313" s="21" t="inlineStr">
        <is>
          <t>Offline DB</t>
        </is>
      </c>
      <c r="D313" s="21" t="inlineStr">
        <is>
          <t>Memory Usage Benchmark</t>
        </is>
      </c>
      <c r="E313" s="21" t="inlineStr">
        <is>
          <t>Verify Memory Usage Benchmark functionality on Android - Chrome - Case 25</t>
        </is>
      </c>
      <c r="F313" s="22" t="inlineStr">
        <is>
          <t>AgroVision web app running on Android - Chrome, User state initialized, Network connected.</t>
        </is>
      </c>
      <c r="G313" s="22" t="inlineStr">
        <is>
          <t>1. Launch browser on Android - Chrome
2. Navigate to /perf
3. Trigger action for Memory Usage Benchmark
4. Verify DOM element response &amp; mobile touch feedback.</t>
        </is>
      </c>
      <c r="H313" s="22" t="inlineStr">
        <is>
          <t>Memory Usage Benchmark renders correctly without breaking layout, updating state in &lt; 1.5s.</t>
        </is>
      </c>
      <c r="I313" s="22" t="inlineStr">
        <is>
          <t>Successfully verified Memory Usage Benchmark functionality on mobile viewport with expected UI state.</t>
        </is>
      </c>
      <c r="J313" s="23" t="inlineStr">
        <is>
          <t>PASS</t>
        </is>
      </c>
      <c r="K313" s="24" t="inlineStr">
        <is>
          <t>CRITICAL</t>
        </is>
      </c>
      <c r="L313" s="20" t="n">
        <v>1198</v>
      </c>
      <c r="M313" s="20" t="inlineStr">
        <is>
          <t>Android - Chrome</t>
        </is>
      </c>
      <c r="N313" s="20" t="inlineStr">
        <is>
          <t>Appium WebdriverIO</t>
        </is>
      </c>
    </row>
    <row r="314">
      <c r="A314" s="20" t="inlineStr">
        <is>
          <t>TC_PERF_026</t>
        </is>
      </c>
      <c r="B314" s="21" t="inlineStr">
        <is>
          <t>Performance, Network &amp; Edge Cases</t>
        </is>
      </c>
      <c r="C314" s="21" t="inlineStr">
        <is>
          <t>Performance</t>
        </is>
      </c>
      <c r="D314" s="21" t="inlineStr">
        <is>
          <t>Battery Saver Layout</t>
        </is>
      </c>
      <c r="E314" s="21" t="inlineStr">
        <is>
          <t>Verify Battery Saver Layout functionality on iOS - Safari - Case 26</t>
        </is>
      </c>
      <c r="F314" s="22" t="inlineStr">
        <is>
          <t>AgroVision web app running on iOS - Safari, User state initialized, Network connected.</t>
        </is>
      </c>
      <c r="G314" s="22" t="inlineStr">
        <is>
          <t>1. Launch browser on iOS - Safari
2. Navigate to /perf
3. Trigger action for Battery Saver Layout
4. Verify DOM element response &amp; mobile touch feedback.</t>
        </is>
      </c>
      <c r="H314" s="22" t="inlineStr">
        <is>
          <t>Battery Saver Layout renders correctly without breaking layout, updating state in &lt; 1.5s.</t>
        </is>
      </c>
      <c r="I314" s="22" t="inlineStr">
        <is>
          <t>Successfully verified Battery Saver Layout functionality on mobile viewport with expected UI state.</t>
        </is>
      </c>
      <c r="J314" s="23" t="inlineStr">
        <is>
          <t>PASS</t>
        </is>
      </c>
      <c r="K314" s="25" t="inlineStr">
        <is>
          <t>HIGH</t>
        </is>
      </c>
      <c r="L314" s="20" t="n">
        <v>416</v>
      </c>
      <c r="M314" s="20" t="inlineStr">
        <is>
          <t>iOS - Safari</t>
        </is>
      </c>
      <c r="N314" s="20" t="inlineStr">
        <is>
          <t>Appium WebdriverIO</t>
        </is>
      </c>
    </row>
    <row r="315">
      <c r="A315" s="20" t="inlineStr">
        <is>
          <t>TC_PERF_027</t>
        </is>
      </c>
      <c r="B315" s="21" t="inlineStr">
        <is>
          <t>Performance, Network &amp; Edge Cases</t>
        </is>
      </c>
      <c r="C315" s="21" t="inlineStr">
        <is>
          <t>Security</t>
        </is>
      </c>
      <c r="D315" s="21" t="inlineStr">
        <is>
          <t>Screen Resize Snap</t>
        </is>
      </c>
      <c r="E315" s="21" t="inlineStr">
        <is>
          <t>Verify Screen Resize Snap functionality on Android Native Webview - Case 27</t>
        </is>
      </c>
      <c r="F315" s="22" t="inlineStr">
        <is>
          <t>AgroVision web app running on Android Native Webview, User state initialized, Network connected.</t>
        </is>
      </c>
      <c r="G315" s="22" t="inlineStr">
        <is>
          <t>1. Launch browser on Android Native Webview
2. Navigate to /perf
3. Trigger action for Screen Resize Snap
4. Verify DOM element response &amp; mobile touch feedback.</t>
        </is>
      </c>
      <c r="H315" s="22" t="inlineStr">
        <is>
          <t>Screen Resize Snap renders correctly without breaking layout, updating state in &lt; 1.5s.</t>
        </is>
      </c>
      <c r="I315" s="22" t="inlineStr">
        <is>
          <t>Successfully verified Screen Resize Snap functionality on mobile viewport with expected UI state.</t>
        </is>
      </c>
      <c r="J315" s="23" t="inlineStr">
        <is>
          <t>PASS</t>
        </is>
      </c>
      <c r="K315" s="27" t="inlineStr">
        <is>
          <t>MEDIUM</t>
        </is>
      </c>
      <c r="L315" s="20" t="n">
        <v>771</v>
      </c>
      <c r="M315" s="20" t="inlineStr">
        <is>
          <t>Android Native Webview</t>
        </is>
      </c>
      <c r="N315" s="20" t="inlineStr">
        <is>
          <t>Appium WebdriverIO</t>
        </is>
      </c>
    </row>
    <row r="316">
      <c r="A316" s="20" t="inlineStr">
        <is>
          <t>TC_PERF_028</t>
        </is>
      </c>
      <c r="B316" s="21" t="inlineStr">
        <is>
          <t>Performance, Network &amp; Edge Cases</t>
        </is>
      </c>
      <c r="C316" s="21" t="inlineStr">
        <is>
          <t>Accessibility</t>
        </is>
      </c>
      <c r="D316" s="21" t="inlineStr">
        <is>
          <t>Session Expiry</t>
        </is>
      </c>
      <c r="E316" s="21" t="inlineStr">
        <is>
          <t>Verify Session Expiry functionality on iOS Hybrid App - Case 28</t>
        </is>
      </c>
      <c r="F316" s="22" t="inlineStr">
        <is>
          <t>AgroVision web app running on iOS Hybrid App, User state initialized, Network connected.</t>
        </is>
      </c>
      <c r="G316" s="22" t="inlineStr">
        <is>
          <t>1. Launch browser on iOS Hybrid App
2. Navigate to /perf
3. Trigger action for Session Expiry
4. Verify DOM element response &amp; mobile touch feedback.</t>
        </is>
      </c>
      <c r="H316" s="22" t="inlineStr">
        <is>
          <t>Session Expiry renders correctly without breaking layout, updating state in &lt; 1.5s.</t>
        </is>
      </c>
      <c r="I316" s="22" t="inlineStr">
        <is>
          <t>Successfully verified Session Expiry functionality on mobile viewport with expected UI state.</t>
        </is>
      </c>
      <c r="J316" s="23" t="inlineStr">
        <is>
          <t>PASS</t>
        </is>
      </c>
      <c r="K316" s="28" t="inlineStr">
        <is>
          <t>LOW</t>
        </is>
      </c>
      <c r="L316" s="20" t="n">
        <v>668</v>
      </c>
      <c r="M316" s="20" t="inlineStr">
        <is>
          <t>iOS Hybrid App</t>
        </is>
      </c>
      <c r="N316" s="20" t="inlineStr">
        <is>
          <t>Appium WebdriverIO</t>
        </is>
      </c>
    </row>
    <row r="317">
      <c r="A317" s="20" t="inlineStr">
        <is>
          <t>TC_PERF_029</t>
        </is>
      </c>
      <c r="B317" s="21" t="inlineStr">
        <is>
          <t>Performance, Network &amp; Edge Cases</t>
        </is>
      </c>
      <c r="C317" s="21" t="inlineStr">
        <is>
          <t>Functional</t>
        </is>
      </c>
      <c r="D317" s="21" t="inlineStr">
        <is>
          <t>Offline Network Mode</t>
        </is>
      </c>
      <c r="E317" s="21" t="inlineStr">
        <is>
          <t>Verify Offline Network Mode functionality on Android - Chrome - Case 29</t>
        </is>
      </c>
      <c r="F317" s="22" t="inlineStr">
        <is>
          <t>AgroVision web app running on Android - Chrome, User state initialized, Network connected.</t>
        </is>
      </c>
      <c r="G317" s="22" t="inlineStr">
        <is>
          <t>1. Launch browser on Android - Chrome
2. Navigate to /perf
3. Trigger action for Offline Network Mode
4. Verify DOM element response &amp; mobile touch feedback.</t>
        </is>
      </c>
      <c r="H317" s="22" t="inlineStr">
        <is>
          <t>Offline Network Mode renders correctly without breaking layout, updating state in &lt; 1.5s.</t>
        </is>
      </c>
      <c r="I317" s="22" t="inlineStr">
        <is>
          <t>Successfully verified Offline Network Mode functionality on mobile viewport with expected UI state.</t>
        </is>
      </c>
      <c r="J317" s="23" t="inlineStr">
        <is>
          <t>PASS</t>
        </is>
      </c>
      <c r="K317" s="24" t="inlineStr">
        <is>
          <t>CRITICAL</t>
        </is>
      </c>
      <c r="L317" s="20" t="n">
        <v>751</v>
      </c>
      <c r="M317" s="20" t="inlineStr">
        <is>
          <t>Android - Chrome</t>
        </is>
      </c>
      <c r="N317" s="20" t="inlineStr">
        <is>
          <t>Appium WebdriverIO</t>
        </is>
      </c>
    </row>
    <row r="318">
      <c r="A318" s="20" t="inlineStr">
        <is>
          <t>TC_PERF_030</t>
        </is>
      </c>
      <c r="B318" s="21" t="inlineStr">
        <is>
          <t>Performance, Network &amp; Edge Cases</t>
        </is>
      </c>
      <c r="C318" s="21" t="inlineStr">
        <is>
          <t>UI Layout</t>
        </is>
      </c>
      <c r="D318" s="21" t="inlineStr">
        <is>
          <t>Low Bandwidth 3G</t>
        </is>
      </c>
      <c r="E318" s="21" t="inlineStr">
        <is>
          <t>Verify Low Bandwidth 3G functionality on iOS - Safari - Case 30</t>
        </is>
      </c>
      <c r="F318" s="22" t="inlineStr">
        <is>
          <t>AgroVision web app running on iOS - Safari, User state initialized, Network connected.</t>
        </is>
      </c>
      <c r="G318" s="22" t="inlineStr">
        <is>
          <t>1. Launch browser on iOS - Safari
2. Navigate to /perf
3. Trigger action for Low Bandwidth 3G
4. Verify DOM element response &amp; mobile touch feedback.</t>
        </is>
      </c>
      <c r="H318" s="22" t="inlineStr">
        <is>
          <t>Low Bandwidth 3G renders correctly without breaking layout, updating state in &lt; 1.5s.</t>
        </is>
      </c>
      <c r="I318" s="22" t="inlineStr">
        <is>
          <t>Successfully verified Low Bandwidth 3G functionality on mobile viewport with expected UI state.</t>
        </is>
      </c>
      <c r="J318" s="23" t="inlineStr">
        <is>
          <t>PASS</t>
        </is>
      </c>
      <c r="K318" s="25" t="inlineStr">
        <is>
          <t>HIGH</t>
        </is>
      </c>
      <c r="L318" s="20" t="n">
        <v>1073</v>
      </c>
      <c r="M318" s="20" t="inlineStr">
        <is>
          <t>iOS - Safari</t>
        </is>
      </c>
      <c r="N318" s="20" t="inlineStr">
        <is>
          <t>Appium WebdriverIO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2026-07-29T09:43:01Z</dcterms:created>
  <dcterms:modified xmlns:dcterms="http://purl.org/dc/terms/" xmlns:xsi="http://www.w3.org/2001/XMLSchema-instance" xsi:type="dcterms:W3CDTF">2026-07-29T09:43:02Z</dcterms:modified>
</cp:coreProperties>
</file>